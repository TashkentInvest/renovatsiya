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inves\OneDrive\Ishchi stol\ren.new\"/>
    </mc:Choice>
  </mc:AlternateContent>
  <xr:revisionPtr revIDLastSave="0" documentId="13_ncr:1_{2224AA17-2EB5-4C76-A01D-36B5C60F55BB}" xr6:coauthVersionLast="47" xr6:coauthVersionMax="47" xr10:uidLastSave="{00000000-0000-0000-0000-000000000000}"/>
  <bookViews>
    <workbookView xWindow="-110" yWindow="-110" windowWidth="25820" windowHeight="15500" xr2:uid="{00000000-000D-0000-FFFF-FFFF00000000}"/>
  </bookViews>
  <sheets>
    <sheet name="Лист1" sheetId="1" r:id="rId1"/>
  </sheets>
  <definedNames>
    <definedName name="_xlnm._FilterDatabase" localSheetId="0">Лист1!$B$1:$S$432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7" i="1" l="1"/>
  <c r="N57" i="1" s="1"/>
  <c r="O56" i="1"/>
  <c r="M56" i="1"/>
  <c r="N56" i="1" s="1"/>
  <c r="M55" i="1"/>
  <c r="P55" i="1" s="1"/>
  <c r="Q55" i="1" s="1"/>
  <c r="R55" i="1" s="1"/>
  <c r="M54" i="1"/>
  <c r="N54" i="1" s="1"/>
  <c r="M53" i="1"/>
  <c r="N53" i="1" s="1"/>
  <c r="P52" i="1"/>
  <c r="Q52" i="1" s="1"/>
  <c r="R52" i="1" s="1"/>
  <c r="M52" i="1"/>
  <c r="O52" i="1" s="1"/>
  <c r="P51" i="1"/>
  <c r="Q51" i="1" s="1"/>
  <c r="R51" i="1" s="1"/>
  <c r="O51" i="1"/>
  <c r="M51" i="1"/>
  <c r="N51" i="1" s="1"/>
  <c r="M50" i="1"/>
  <c r="P50" i="1" s="1"/>
  <c r="Q50" i="1" s="1"/>
  <c r="R50" i="1" s="1"/>
  <c r="M49" i="1"/>
  <c r="P49" i="1" s="1"/>
  <c r="Q49" i="1" s="1"/>
  <c r="R49" i="1" s="1"/>
  <c r="P48" i="1"/>
  <c r="Q48" i="1" s="1"/>
  <c r="R48" i="1" s="1"/>
  <c r="M48" i="1"/>
  <c r="O48" i="1" s="1"/>
  <c r="M47" i="1"/>
  <c r="O47" i="1" s="1"/>
  <c r="O46" i="1"/>
  <c r="N46" i="1"/>
  <c r="M46" i="1"/>
  <c r="P46" i="1" s="1"/>
  <c r="Q46" i="1" s="1"/>
  <c r="R46" i="1" s="1"/>
  <c r="M45" i="1"/>
  <c r="O45" i="1" s="1"/>
  <c r="O44" i="1"/>
  <c r="N44" i="1"/>
  <c r="P44" i="1" s="1"/>
  <c r="Q44" i="1" s="1"/>
  <c r="R44" i="1" s="1"/>
  <c r="M44" i="1"/>
  <c r="M43" i="1"/>
  <c r="O43" i="1" s="1"/>
  <c r="O42" i="1"/>
  <c r="N42" i="1"/>
  <c r="P42" i="1" s="1"/>
  <c r="Q42" i="1" s="1"/>
  <c r="R42" i="1" s="1"/>
  <c r="M42" i="1"/>
  <c r="M41" i="1"/>
  <c r="N41" i="1" s="1"/>
  <c r="P40" i="1"/>
  <c r="Q40" i="1" s="1"/>
  <c r="R40" i="1" s="1"/>
  <c r="O40" i="1"/>
  <c r="N40" i="1"/>
  <c r="M40" i="1"/>
  <c r="M39" i="1"/>
  <c r="O39" i="1" s="1"/>
  <c r="O38" i="1"/>
  <c r="N38" i="1"/>
  <c r="M38" i="1"/>
  <c r="P38" i="1" s="1"/>
  <c r="Q38" i="1" s="1"/>
  <c r="R38" i="1" s="1"/>
  <c r="M37" i="1"/>
  <c r="O37" i="1" s="1"/>
  <c r="O36" i="1"/>
  <c r="N36" i="1"/>
  <c r="P36" i="1" s="1"/>
  <c r="Q36" i="1" s="1"/>
  <c r="R36" i="1" s="1"/>
  <c r="M36" i="1"/>
  <c r="Q35" i="1"/>
  <c r="R35" i="1" s="1"/>
  <c r="M35" i="1"/>
  <c r="N35" i="1" s="1"/>
  <c r="R34" i="1"/>
  <c r="Q34" i="1"/>
  <c r="M34" i="1"/>
  <c r="O34" i="1" s="1"/>
  <c r="R33" i="1"/>
  <c r="Q33" i="1"/>
  <c r="M33" i="1"/>
  <c r="O33" i="1" s="1"/>
  <c r="R32" i="1"/>
  <c r="Q32" i="1"/>
  <c r="M32" i="1"/>
  <c r="O32" i="1" s="1"/>
  <c r="Q31" i="1"/>
  <c r="R31" i="1" s="1"/>
  <c r="O31" i="1"/>
  <c r="N31" i="1"/>
  <c r="M31" i="1"/>
  <c r="Q30" i="1"/>
  <c r="R30" i="1" s="1"/>
  <c r="M30" i="1"/>
  <c r="O30" i="1" s="1"/>
  <c r="Q29" i="1"/>
  <c r="R29" i="1" s="1"/>
  <c r="M29" i="1"/>
  <c r="O29" i="1" s="1"/>
  <c r="Q28" i="1"/>
  <c r="R28" i="1" s="1"/>
  <c r="M28" i="1"/>
  <c r="N28" i="1" s="1"/>
  <c r="Q27" i="1"/>
  <c r="R27" i="1" s="1"/>
  <c r="M27" i="1"/>
  <c r="O27" i="1" s="1"/>
  <c r="Q26" i="1"/>
  <c r="R26" i="1" s="1"/>
  <c r="M26" i="1"/>
  <c r="O26" i="1" s="1"/>
  <c r="Q25" i="1"/>
  <c r="R25" i="1" s="1"/>
  <c r="O25" i="1"/>
  <c r="N25" i="1"/>
  <c r="M25" i="1"/>
  <c r="Q24" i="1"/>
  <c r="R24" i="1" s="1"/>
  <c r="O24" i="1"/>
  <c r="N24" i="1"/>
  <c r="M24" i="1"/>
  <c r="Q23" i="1"/>
  <c r="R23" i="1" s="1"/>
  <c r="M23" i="1"/>
  <c r="N23" i="1" s="1"/>
  <c r="Q22" i="1"/>
  <c r="R22" i="1" s="1"/>
  <c r="M22" i="1"/>
  <c r="N22" i="1" s="1"/>
  <c r="R21" i="1"/>
  <c r="Q21" i="1"/>
  <c r="M21" i="1"/>
  <c r="O21" i="1" s="1"/>
  <c r="P20" i="1"/>
  <c r="Q20" i="1" s="1"/>
  <c r="R20" i="1" s="1"/>
  <c r="M20" i="1"/>
  <c r="O20" i="1" s="1"/>
  <c r="M19" i="1"/>
  <c r="N19" i="1" s="1"/>
  <c r="M18" i="1"/>
  <c r="N18" i="1" s="1"/>
  <c r="M17" i="1"/>
  <c r="P17" i="1" s="1"/>
  <c r="Q17" i="1" s="1"/>
  <c r="R17" i="1" s="1"/>
  <c r="P16" i="1"/>
  <c r="Q16" i="1" s="1"/>
  <c r="R16" i="1" s="1"/>
  <c r="M16" i="1"/>
  <c r="O16" i="1" s="1"/>
  <c r="M15" i="1"/>
  <c r="N15" i="1" s="1"/>
  <c r="M14" i="1"/>
  <c r="N14" i="1" s="1"/>
  <c r="M13" i="1"/>
  <c r="P13" i="1" s="1"/>
  <c r="Q13" i="1" s="1"/>
  <c r="R13" i="1" s="1"/>
  <c r="P12" i="1"/>
  <c r="Q12" i="1" s="1"/>
  <c r="R12" i="1" s="1"/>
  <c r="M12" i="1"/>
  <c r="O12" i="1" s="1"/>
  <c r="M11" i="1"/>
  <c r="N11" i="1" s="1"/>
  <c r="M10" i="1"/>
  <c r="P10" i="1" s="1"/>
  <c r="Q10" i="1" s="1"/>
  <c r="R10" i="1" s="1"/>
  <c r="M9" i="1"/>
  <c r="P9" i="1" s="1"/>
  <c r="Q9" i="1" s="1"/>
  <c r="R9" i="1" s="1"/>
  <c r="P8" i="1"/>
  <c r="Q8" i="1" s="1"/>
  <c r="R8" i="1" s="1"/>
  <c r="M8" i="1"/>
  <c r="O8" i="1" s="1"/>
  <c r="M7" i="1"/>
  <c r="P7" i="1" s="1"/>
  <c r="Q7" i="1" s="1"/>
  <c r="R7" i="1" s="1"/>
  <c r="M6" i="1"/>
  <c r="O6" i="1" s="1"/>
  <c r="M5" i="1"/>
  <c r="P5" i="1" s="1"/>
  <c r="Q5" i="1" s="1"/>
  <c r="R5" i="1" s="1"/>
  <c r="P4" i="1"/>
  <c r="Q4" i="1" s="1"/>
  <c r="R4" i="1" s="1"/>
  <c r="M4" i="1"/>
  <c r="O4" i="1" s="1"/>
  <c r="M3" i="1"/>
  <c r="N3" i="1" s="1"/>
  <c r="M2" i="1"/>
  <c r="P2" i="1" s="1"/>
  <c r="Q2" i="1" s="1"/>
  <c r="R2" i="1" s="1"/>
  <c r="N2" i="1" l="1"/>
  <c r="O22" i="1"/>
  <c r="O2" i="1"/>
  <c r="O18" i="1"/>
  <c r="P18" i="1"/>
  <c r="Q18" i="1" s="1"/>
  <c r="R18" i="1" s="1"/>
  <c r="O53" i="1"/>
  <c r="N37" i="1"/>
  <c r="O41" i="1"/>
  <c r="P41" i="1" s="1"/>
  <c r="Q41" i="1" s="1"/>
  <c r="R41" i="1" s="1"/>
  <c r="N7" i="1"/>
  <c r="O28" i="1"/>
  <c r="N33" i="1"/>
  <c r="O3" i="1"/>
  <c r="O7" i="1"/>
  <c r="O11" i="1"/>
  <c r="O15" i="1"/>
  <c r="O19" i="1"/>
  <c r="N55" i="1"/>
  <c r="P3" i="1"/>
  <c r="Q3" i="1" s="1"/>
  <c r="R3" i="1" s="1"/>
  <c r="P11" i="1"/>
  <c r="Q11" i="1" s="1"/>
  <c r="R11" i="1" s="1"/>
  <c r="P15" i="1"/>
  <c r="Q15" i="1" s="1"/>
  <c r="R15" i="1" s="1"/>
  <c r="P19" i="1"/>
  <c r="Q19" i="1" s="1"/>
  <c r="R19" i="1" s="1"/>
  <c r="O50" i="1"/>
  <c r="O55" i="1"/>
  <c r="N6" i="1"/>
  <c r="O14" i="1"/>
  <c r="N32" i="1"/>
  <c r="N49" i="1"/>
  <c r="P14" i="1"/>
  <c r="Q14" i="1" s="1"/>
  <c r="R14" i="1" s="1"/>
  <c r="O23" i="1"/>
  <c r="O54" i="1"/>
  <c r="N29" i="1"/>
  <c r="N34" i="1"/>
  <c r="N4" i="1"/>
  <c r="N8" i="1"/>
  <c r="N12" i="1"/>
  <c r="N16" i="1"/>
  <c r="N20" i="1"/>
  <c r="N43" i="1"/>
  <c r="O35" i="1"/>
  <c r="P39" i="1"/>
  <c r="Q39" i="1" s="1"/>
  <c r="R39" i="1" s="1"/>
  <c r="P43" i="1"/>
  <c r="Q43" i="1" s="1"/>
  <c r="R43" i="1" s="1"/>
  <c r="O57" i="1"/>
  <c r="P6" i="1"/>
  <c r="Q6" i="1" s="1"/>
  <c r="R6" i="1" s="1"/>
  <c r="O49" i="1"/>
  <c r="N45" i="1"/>
  <c r="P45" i="1" s="1"/>
  <c r="Q45" i="1" s="1"/>
  <c r="R45" i="1" s="1"/>
  <c r="P37" i="1"/>
  <c r="Q37" i="1" s="1"/>
  <c r="R37" i="1" s="1"/>
  <c r="N50" i="1"/>
  <c r="N30" i="1"/>
  <c r="N39" i="1"/>
  <c r="N5" i="1"/>
  <c r="N9" i="1"/>
  <c r="N13" i="1"/>
  <c r="N17" i="1"/>
  <c r="N21" i="1"/>
  <c r="P57" i="1"/>
  <c r="Q57" i="1" s="1"/>
  <c r="R57" i="1" s="1"/>
  <c r="N10" i="1"/>
  <c r="N27" i="1"/>
  <c r="N47" i="1"/>
  <c r="P47" i="1" s="1"/>
  <c r="O5" i="1"/>
  <c r="O9" i="1"/>
  <c r="O13" i="1"/>
  <c r="O17" i="1"/>
  <c r="N26" i="1"/>
  <c r="N48" i="1"/>
  <c r="N52" i="1"/>
  <c r="O10" i="1"/>
  <c r="M432" i="1"/>
  <c r="O432" i="1" s="1"/>
  <c r="N431" i="1"/>
  <c r="M431" i="1"/>
  <c r="O431" i="1" s="1"/>
  <c r="O430" i="1"/>
  <c r="N430" i="1"/>
  <c r="M430" i="1"/>
  <c r="M429" i="1"/>
  <c r="O429" i="1" s="1"/>
  <c r="M428" i="1"/>
  <c r="O428" i="1" s="1"/>
  <c r="N427" i="1"/>
  <c r="M427" i="1"/>
  <c r="O427" i="1" s="1"/>
  <c r="M426" i="1"/>
  <c r="P426" i="1" s="1"/>
  <c r="Q426" i="1" s="1"/>
  <c r="R426" i="1" s="1"/>
  <c r="M425" i="1"/>
  <c r="O425" i="1" s="1"/>
  <c r="O422" i="1"/>
  <c r="N422" i="1"/>
  <c r="M422" i="1"/>
  <c r="P422" i="1" s="1"/>
  <c r="Q422" i="1" s="1"/>
  <c r="R422" i="1" s="1"/>
  <c r="P421" i="1"/>
  <c r="Q421" i="1" s="1"/>
  <c r="R421" i="1" s="1"/>
  <c r="M421" i="1"/>
  <c r="P420" i="1"/>
  <c r="Q420" i="1" s="1"/>
  <c r="R420" i="1" s="1"/>
  <c r="M420" i="1"/>
  <c r="O420" i="1" s="1"/>
  <c r="M419" i="1"/>
  <c r="O419" i="1" s="1"/>
  <c r="O418" i="1"/>
  <c r="N418" i="1"/>
  <c r="M418" i="1"/>
  <c r="P418" i="1" s="1"/>
  <c r="Q418" i="1" s="1"/>
  <c r="R418" i="1" s="1"/>
  <c r="P417" i="1"/>
  <c r="Q417" i="1" s="1"/>
  <c r="R417" i="1" s="1"/>
  <c r="M417" i="1"/>
  <c r="P416" i="1"/>
  <c r="Q416" i="1" s="1"/>
  <c r="R416" i="1" s="1"/>
  <c r="M416" i="1"/>
  <c r="O416" i="1" s="1"/>
  <c r="M415" i="1"/>
  <c r="O415" i="1" s="1"/>
  <c r="O414" i="1"/>
  <c r="N414" i="1"/>
  <c r="M414" i="1"/>
  <c r="P414" i="1" s="1"/>
  <c r="Q414" i="1" s="1"/>
  <c r="R414" i="1" s="1"/>
  <c r="M413" i="1"/>
  <c r="P413" i="1" s="1"/>
  <c r="Q413" i="1" s="1"/>
  <c r="R413" i="1" s="1"/>
  <c r="Q412" i="1"/>
  <c r="R412" i="1" s="1"/>
  <c r="P412" i="1"/>
  <c r="M412" i="1"/>
  <c r="O412" i="1" s="1"/>
  <c r="M411" i="1"/>
  <c r="O411" i="1" s="1"/>
  <c r="O410" i="1"/>
  <c r="N410" i="1"/>
  <c r="M410" i="1"/>
  <c r="P410" i="1" s="1"/>
  <c r="Q410" i="1" s="1"/>
  <c r="R410" i="1" s="1"/>
  <c r="M409" i="1"/>
  <c r="P408" i="1"/>
  <c r="Q408" i="1" s="1"/>
  <c r="R408" i="1" s="1"/>
  <c r="M408" i="1"/>
  <c r="O408" i="1" s="1"/>
  <c r="M407" i="1"/>
  <c r="O407" i="1" s="1"/>
  <c r="O406" i="1"/>
  <c r="N406" i="1"/>
  <c r="M406" i="1"/>
  <c r="P406" i="1" s="1"/>
  <c r="Q406" i="1" s="1"/>
  <c r="R406" i="1" s="1"/>
  <c r="M405" i="1"/>
  <c r="P405" i="1" s="1"/>
  <c r="Q405" i="1" s="1"/>
  <c r="R405" i="1" s="1"/>
  <c r="P404" i="1"/>
  <c r="Q404" i="1" s="1"/>
  <c r="R404" i="1" s="1"/>
  <c r="M404" i="1"/>
  <c r="O404" i="1" s="1"/>
  <c r="M403" i="1"/>
  <c r="O403" i="1" s="1"/>
  <c r="O402" i="1"/>
  <c r="N402" i="1"/>
  <c r="M402" i="1"/>
  <c r="P402" i="1" s="1"/>
  <c r="Q402" i="1" s="1"/>
  <c r="R402" i="1" s="1"/>
  <c r="M401" i="1"/>
  <c r="Q400" i="1"/>
  <c r="R400" i="1" s="1"/>
  <c r="O400" i="1"/>
  <c r="M400" i="1"/>
  <c r="N400" i="1" s="1"/>
  <c r="M399" i="1"/>
  <c r="N399" i="1" s="1"/>
  <c r="M398" i="1"/>
  <c r="Q397" i="1"/>
  <c r="R397" i="1" s="1"/>
  <c r="N397" i="1"/>
  <c r="M397" i="1"/>
  <c r="O397" i="1" s="1"/>
  <c r="Q396" i="1"/>
  <c r="R396" i="1" s="1"/>
  <c r="O396" i="1"/>
  <c r="N396" i="1"/>
  <c r="M396" i="1"/>
  <c r="P396" i="1" s="1"/>
  <c r="N395" i="1"/>
  <c r="M395" i="1"/>
  <c r="P395" i="1" s="1"/>
  <c r="Q395" i="1" s="1"/>
  <c r="R395" i="1" s="1"/>
  <c r="R394" i="1"/>
  <c r="Q394" i="1"/>
  <c r="N394" i="1"/>
  <c r="M394" i="1"/>
  <c r="O394" i="1" s="1"/>
  <c r="Q393" i="1"/>
  <c r="R393" i="1" s="1"/>
  <c r="N393" i="1"/>
  <c r="M393" i="1"/>
  <c r="O393" i="1" s="1"/>
  <c r="O392" i="1"/>
  <c r="M392" i="1"/>
  <c r="M391" i="1"/>
  <c r="P391" i="1" s="1"/>
  <c r="Q391" i="1" s="1"/>
  <c r="R391" i="1" s="1"/>
  <c r="P390" i="1"/>
  <c r="Q390" i="1" s="1"/>
  <c r="R390" i="1" s="1"/>
  <c r="M390" i="1"/>
  <c r="O390" i="1" s="1"/>
  <c r="P389" i="1"/>
  <c r="Q389" i="1" s="1"/>
  <c r="R389" i="1" s="1"/>
  <c r="N389" i="1"/>
  <c r="M389" i="1"/>
  <c r="O389" i="1" s="1"/>
  <c r="Q388" i="1"/>
  <c r="R388" i="1" s="1"/>
  <c r="N388" i="1"/>
  <c r="M388" i="1"/>
  <c r="O388" i="1" s="1"/>
  <c r="Q387" i="1"/>
  <c r="R387" i="1" s="1"/>
  <c r="P387" i="1"/>
  <c r="N387" i="1"/>
  <c r="M387" i="1"/>
  <c r="O387" i="1" s="1"/>
  <c r="O386" i="1"/>
  <c r="N386" i="1"/>
  <c r="M386" i="1"/>
  <c r="P386" i="1" s="1"/>
  <c r="Q386" i="1" s="1"/>
  <c r="R386" i="1" s="1"/>
  <c r="M385" i="1"/>
  <c r="M384" i="1"/>
  <c r="O384" i="1" s="1"/>
  <c r="Q383" i="1"/>
  <c r="R383" i="1" s="1"/>
  <c r="P383" i="1"/>
  <c r="N383" i="1"/>
  <c r="M383" i="1"/>
  <c r="O383" i="1" s="1"/>
  <c r="O382" i="1"/>
  <c r="N382" i="1"/>
  <c r="M382" i="1"/>
  <c r="P382" i="1" s="1"/>
  <c r="Q382" i="1" s="1"/>
  <c r="R382" i="1" s="1"/>
  <c r="R381" i="1"/>
  <c r="Q381" i="1"/>
  <c r="O381" i="1"/>
  <c r="N381" i="1"/>
  <c r="M381" i="1"/>
  <c r="M380" i="1"/>
  <c r="P379" i="1"/>
  <c r="Q379" i="1" s="1"/>
  <c r="R379" i="1" s="1"/>
  <c r="O379" i="1"/>
  <c r="M379" i="1"/>
  <c r="N379" i="1" s="1"/>
  <c r="N378" i="1"/>
  <c r="M378" i="1"/>
  <c r="O378" i="1" s="1"/>
  <c r="Q377" i="1"/>
  <c r="R377" i="1" s="1"/>
  <c r="N377" i="1"/>
  <c r="M377" i="1"/>
  <c r="O377" i="1" s="1"/>
  <c r="P376" i="1"/>
  <c r="Q376" i="1" s="1"/>
  <c r="R376" i="1" s="1"/>
  <c r="O376" i="1"/>
  <c r="N376" i="1"/>
  <c r="M376" i="1"/>
  <c r="P375" i="1"/>
  <c r="Q375" i="1" s="1"/>
  <c r="R375" i="1" s="1"/>
  <c r="O375" i="1"/>
  <c r="N375" i="1"/>
  <c r="M375" i="1"/>
  <c r="M374" i="1"/>
  <c r="M373" i="1"/>
  <c r="M372" i="1"/>
  <c r="P372" i="1" s="1"/>
  <c r="Q372" i="1" s="1"/>
  <c r="R372" i="1" s="1"/>
  <c r="P371" i="1"/>
  <c r="Q371" i="1" s="1"/>
  <c r="R371" i="1" s="1"/>
  <c r="O371" i="1"/>
  <c r="N371" i="1"/>
  <c r="M371" i="1"/>
  <c r="M370" i="1"/>
  <c r="N369" i="1"/>
  <c r="M369" i="1"/>
  <c r="M368" i="1"/>
  <c r="P368" i="1" s="1"/>
  <c r="Q368" i="1" s="1"/>
  <c r="R368" i="1" s="1"/>
  <c r="P367" i="1"/>
  <c r="Q367" i="1" s="1"/>
  <c r="R367" i="1" s="1"/>
  <c r="O367" i="1"/>
  <c r="N367" i="1"/>
  <c r="M367" i="1"/>
  <c r="M366" i="1"/>
  <c r="M365" i="1"/>
  <c r="M364" i="1"/>
  <c r="P364" i="1" s="1"/>
  <c r="Q364" i="1" s="1"/>
  <c r="R364" i="1" s="1"/>
  <c r="P363" i="1"/>
  <c r="Q363" i="1" s="1"/>
  <c r="R363" i="1" s="1"/>
  <c r="O363" i="1"/>
  <c r="N363" i="1"/>
  <c r="M363" i="1"/>
  <c r="R362" i="1"/>
  <c r="Q362" i="1"/>
  <c r="O362" i="1"/>
  <c r="N362" i="1"/>
  <c r="M362" i="1"/>
  <c r="R361" i="1"/>
  <c r="Q361" i="1"/>
  <c r="N361" i="1"/>
  <c r="M361" i="1"/>
  <c r="O361" i="1" s="1"/>
  <c r="Q360" i="1"/>
  <c r="R360" i="1" s="1"/>
  <c r="M360" i="1"/>
  <c r="P360" i="1" s="1"/>
  <c r="Q359" i="1"/>
  <c r="R359" i="1" s="1"/>
  <c r="O359" i="1"/>
  <c r="N359" i="1"/>
  <c r="M359" i="1"/>
  <c r="R358" i="1"/>
  <c r="Q358" i="1"/>
  <c r="N358" i="1"/>
  <c r="M358" i="1"/>
  <c r="O358" i="1" s="1"/>
  <c r="O357" i="1"/>
  <c r="N357" i="1"/>
  <c r="M357" i="1"/>
  <c r="P357" i="1" s="1"/>
  <c r="Q357" i="1" s="1"/>
  <c r="R357" i="1" s="1"/>
  <c r="P356" i="1"/>
  <c r="Q356" i="1" s="1"/>
  <c r="R356" i="1" s="1"/>
  <c r="O356" i="1"/>
  <c r="M356" i="1"/>
  <c r="N356" i="1" s="1"/>
  <c r="M355" i="1"/>
  <c r="N355" i="1" s="1"/>
  <c r="Q354" i="1"/>
  <c r="R354" i="1" s="1"/>
  <c r="P354" i="1"/>
  <c r="N354" i="1"/>
  <c r="M354" i="1"/>
  <c r="O354" i="1" s="1"/>
  <c r="R353" i="1"/>
  <c r="Q353" i="1"/>
  <c r="N353" i="1"/>
  <c r="M353" i="1"/>
  <c r="O353" i="1" s="1"/>
  <c r="O352" i="1"/>
  <c r="N352" i="1"/>
  <c r="M352" i="1"/>
  <c r="P352" i="1" s="1"/>
  <c r="Q352" i="1" s="1"/>
  <c r="R352" i="1" s="1"/>
  <c r="Q351" i="1"/>
  <c r="R351" i="1" s="1"/>
  <c r="M351" i="1"/>
  <c r="O351" i="1" s="1"/>
  <c r="P350" i="1"/>
  <c r="Q350" i="1" s="1"/>
  <c r="R350" i="1" s="1"/>
  <c r="O350" i="1"/>
  <c r="N350" i="1"/>
  <c r="M350" i="1"/>
  <c r="R349" i="1"/>
  <c r="Q349" i="1"/>
  <c r="O349" i="1"/>
  <c r="N349" i="1"/>
  <c r="M349" i="1"/>
  <c r="R348" i="1"/>
  <c r="Q348" i="1"/>
  <c r="N348" i="1"/>
  <c r="M348" i="1"/>
  <c r="O348" i="1" s="1"/>
  <c r="Q347" i="1"/>
  <c r="R347" i="1" s="1"/>
  <c r="N347" i="1"/>
  <c r="M347" i="1"/>
  <c r="O347" i="1" s="1"/>
  <c r="M346" i="1"/>
  <c r="P346" i="1" s="1"/>
  <c r="Q346" i="1" s="1"/>
  <c r="R346" i="1" s="1"/>
  <c r="R345" i="1"/>
  <c r="Q345" i="1"/>
  <c r="N345" i="1"/>
  <c r="M345" i="1"/>
  <c r="O345" i="1" s="1"/>
  <c r="O344" i="1"/>
  <c r="N344" i="1"/>
  <c r="M344" i="1"/>
  <c r="P344" i="1" s="1"/>
  <c r="Q344" i="1" s="1"/>
  <c r="R344" i="1" s="1"/>
  <c r="R343" i="1"/>
  <c r="Q343" i="1"/>
  <c r="O343" i="1"/>
  <c r="N343" i="1"/>
  <c r="M343" i="1"/>
  <c r="R342" i="1"/>
  <c r="Q342" i="1"/>
  <c r="M342" i="1"/>
  <c r="O342" i="1" s="1"/>
  <c r="Q341" i="1"/>
  <c r="R341" i="1" s="1"/>
  <c r="O341" i="1"/>
  <c r="N341" i="1"/>
  <c r="M341" i="1"/>
  <c r="Q340" i="1"/>
  <c r="R340" i="1" s="1"/>
  <c r="N340" i="1"/>
  <c r="M340" i="1"/>
  <c r="O340" i="1" s="1"/>
  <c r="Q339" i="1"/>
  <c r="R339" i="1" s="1"/>
  <c r="M339" i="1"/>
  <c r="O339" i="1" s="1"/>
  <c r="Q338" i="1"/>
  <c r="R338" i="1" s="1"/>
  <c r="M338" i="1"/>
  <c r="Q337" i="1"/>
  <c r="R337" i="1" s="1"/>
  <c r="M337" i="1"/>
  <c r="O337" i="1" s="1"/>
  <c r="Q336" i="1"/>
  <c r="R336" i="1" s="1"/>
  <c r="O336" i="1"/>
  <c r="N336" i="1"/>
  <c r="M336" i="1"/>
  <c r="R335" i="1"/>
  <c r="Q335" i="1"/>
  <c r="O335" i="1"/>
  <c r="N335" i="1"/>
  <c r="M335" i="1"/>
  <c r="M334" i="1"/>
  <c r="R333" i="1"/>
  <c r="Q333" i="1"/>
  <c r="M333" i="1"/>
  <c r="O333" i="1" s="1"/>
  <c r="M332" i="1"/>
  <c r="N332" i="1" s="1"/>
  <c r="P331" i="1"/>
  <c r="Q331" i="1" s="1"/>
  <c r="R331" i="1" s="1"/>
  <c r="N331" i="1"/>
  <c r="M331" i="1"/>
  <c r="O331" i="1" s="1"/>
  <c r="Q330" i="1"/>
  <c r="R330" i="1" s="1"/>
  <c r="P330" i="1"/>
  <c r="N330" i="1"/>
  <c r="M330" i="1"/>
  <c r="O330" i="1" s="1"/>
  <c r="M329" i="1"/>
  <c r="M328" i="1"/>
  <c r="N327" i="1"/>
  <c r="M327" i="1"/>
  <c r="P327" i="1" s="1"/>
  <c r="Q327" i="1" s="1"/>
  <c r="R327" i="1" s="1"/>
  <c r="Q326" i="1"/>
  <c r="R326" i="1" s="1"/>
  <c r="P326" i="1"/>
  <c r="N326" i="1"/>
  <c r="M326" i="1"/>
  <c r="O326" i="1" s="1"/>
  <c r="Q325" i="1"/>
  <c r="R325" i="1" s="1"/>
  <c r="O325" i="1"/>
  <c r="M325" i="1"/>
  <c r="P325" i="1" s="1"/>
  <c r="M324" i="1"/>
  <c r="N323" i="1"/>
  <c r="M323" i="1"/>
  <c r="P323" i="1" s="1"/>
  <c r="Q323" i="1" s="1"/>
  <c r="R323" i="1" s="1"/>
  <c r="Q322" i="1"/>
  <c r="R322" i="1" s="1"/>
  <c r="P322" i="1"/>
  <c r="N322" i="1"/>
  <c r="M322" i="1"/>
  <c r="O322" i="1" s="1"/>
  <c r="R321" i="1"/>
  <c r="M321" i="1"/>
  <c r="P321" i="1" s="1"/>
  <c r="Q321" i="1" s="1"/>
  <c r="P320" i="1"/>
  <c r="Q320" i="1" s="1"/>
  <c r="R320" i="1" s="1"/>
  <c r="O320" i="1"/>
  <c r="N320" i="1"/>
  <c r="M320" i="1"/>
  <c r="N319" i="1"/>
  <c r="M319" i="1"/>
  <c r="P319" i="1" s="1"/>
  <c r="Q319" i="1" s="1"/>
  <c r="R319" i="1" s="1"/>
  <c r="Q318" i="1"/>
  <c r="R318" i="1" s="1"/>
  <c r="P318" i="1"/>
  <c r="N318" i="1"/>
  <c r="M318" i="1"/>
  <c r="O318" i="1" s="1"/>
  <c r="Q317" i="1"/>
  <c r="R317" i="1" s="1"/>
  <c r="M317" i="1"/>
  <c r="O317" i="1" s="1"/>
  <c r="P316" i="1"/>
  <c r="Q316" i="1" s="1"/>
  <c r="R316" i="1" s="1"/>
  <c r="M316" i="1"/>
  <c r="N316" i="1" s="1"/>
  <c r="M315" i="1"/>
  <c r="P315" i="1" s="1"/>
  <c r="Q315" i="1" s="1"/>
  <c r="R315" i="1" s="1"/>
  <c r="P314" i="1"/>
  <c r="Q314" i="1" s="1"/>
  <c r="R314" i="1" s="1"/>
  <c r="M314" i="1"/>
  <c r="O314" i="1" s="1"/>
  <c r="Q313" i="1"/>
  <c r="R313" i="1" s="1"/>
  <c r="M313" i="1"/>
  <c r="N313" i="1" s="1"/>
  <c r="O312" i="1"/>
  <c r="M312" i="1"/>
  <c r="P312" i="1" s="1"/>
  <c r="Q312" i="1" s="1"/>
  <c r="R312" i="1" s="1"/>
  <c r="Q311" i="1"/>
  <c r="R311" i="1" s="1"/>
  <c r="O311" i="1"/>
  <c r="M311" i="1"/>
  <c r="N311" i="1" s="1"/>
  <c r="Q310" i="1"/>
  <c r="R310" i="1" s="1"/>
  <c r="M310" i="1"/>
  <c r="M309" i="1"/>
  <c r="N309" i="1" s="1"/>
  <c r="M308" i="1"/>
  <c r="O308" i="1" s="1"/>
  <c r="P307" i="1"/>
  <c r="Q307" i="1" s="1"/>
  <c r="R307" i="1" s="1"/>
  <c r="O307" i="1"/>
  <c r="N307" i="1"/>
  <c r="M307" i="1"/>
  <c r="R306" i="1"/>
  <c r="Q306" i="1"/>
  <c r="O306" i="1"/>
  <c r="N306" i="1"/>
  <c r="M306" i="1"/>
  <c r="R305" i="1"/>
  <c r="Q305" i="1"/>
  <c r="N305" i="1"/>
  <c r="M305" i="1"/>
  <c r="O305" i="1" s="1"/>
  <c r="Q304" i="1"/>
  <c r="R304" i="1" s="1"/>
  <c r="M304" i="1"/>
  <c r="O304" i="1" s="1"/>
  <c r="M303" i="1"/>
  <c r="P303" i="1" s="1"/>
  <c r="Q303" i="1" s="1"/>
  <c r="R303" i="1" s="1"/>
  <c r="R302" i="1"/>
  <c r="Q302" i="1"/>
  <c r="N302" i="1"/>
  <c r="M302" i="1"/>
  <c r="O302" i="1" s="1"/>
  <c r="R301" i="1"/>
  <c r="Q301" i="1"/>
  <c r="N301" i="1"/>
  <c r="M301" i="1"/>
  <c r="O301" i="1" s="1"/>
  <c r="O300" i="1"/>
  <c r="N300" i="1"/>
  <c r="M300" i="1"/>
  <c r="P300" i="1" s="1"/>
  <c r="Q300" i="1" s="1"/>
  <c r="R300" i="1" s="1"/>
  <c r="M299" i="1"/>
  <c r="Q298" i="1"/>
  <c r="R298" i="1" s="1"/>
  <c r="O298" i="1"/>
  <c r="N298" i="1"/>
  <c r="M298" i="1"/>
  <c r="R297" i="1"/>
  <c r="Q297" i="1"/>
  <c r="O297" i="1"/>
  <c r="N297" i="1"/>
  <c r="M297" i="1"/>
  <c r="R296" i="1"/>
  <c r="Q296" i="1"/>
  <c r="N296" i="1"/>
  <c r="M296" i="1"/>
  <c r="O296" i="1" s="1"/>
  <c r="M295" i="1"/>
  <c r="P295" i="1" s="1"/>
  <c r="Q295" i="1" s="1"/>
  <c r="R295" i="1" s="1"/>
  <c r="M294" i="1"/>
  <c r="P294" i="1" s="1"/>
  <c r="Q294" i="1" s="1"/>
  <c r="R294" i="1" s="1"/>
  <c r="N293" i="1"/>
  <c r="M293" i="1"/>
  <c r="P293" i="1" s="1"/>
  <c r="Q293" i="1" s="1"/>
  <c r="R293" i="1" s="1"/>
  <c r="Q292" i="1"/>
  <c r="R292" i="1" s="1"/>
  <c r="P292" i="1"/>
  <c r="N292" i="1"/>
  <c r="M292" i="1"/>
  <c r="O292" i="1" s="1"/>
  <c r="Q291" i="1"/>
  <c r="R291" i="1" s="1"/>
  <c r="M291" i="1"/>
  <c r="P291" i="1" s="1"/>
  <c r="M290" i="1"/>
  <c r="N289" i="1"/>
  <c r="M289" i="1"/>
  <c r="P289" i="1" s="1"/>
  <c r="Q289" i="1" s="1"/>
  <c r="R289" i="1" s="1"/>
  <c r="Q288" i="1"/>
  <c r="R288" i="1" s="1"/>
  <c r="P288" i="1"/>
  <c r="N288" i="1"/>
  <c r="M288" i="1"/>
  <c r="O288" i="1" s="1"/>
  <c r="Q287" i="1"/>
  <c r="R287" i="1" s="1"/>
  <c r="O287" i="1"/>
  <c r="M287" i="1"/>
  <c r="P287" i="1" s="1"/>
  <c r="P286" i="1"/>
  <c r="Q286" i="1" s="1"/>
  <c r="R286" i="1" s="1"/>
  <c r="O286" i="1"/>
  <c r="M286" i="1"/>
  <c r="N286" i="1" s="1"/>
  <c r="N285" i="1"/>
  <c r="M285" i="1"/>
  <c r="P285" i="1" s="1"/>
  <c r="Q285" i="1" s="1"/>
  <c r="R285" i="1" s="1"/>
  <c r="Q284" i="1"/>
  <c r="R284" i="1" s="1"/>
  <c r="P284" i="1"/>
  <c r="N284" i="1"/>
  <c r="M284" i="1"/>
  <c r="O284" i="1" s="1"/>
  <c r="Q283" i="1"/>
  <c r="R283" i="1" s="1"/>
  <c r="O283" i="1"/>
  <c r="M283" i="1"/>
  <c r="P283" i="1" s="1"/>
  <c r="P282" i="1"/>
  <c r="Q282" i="1" s="1"/>
  <c r="R282" i="1" s="1"/>
  <c r="O282" i="1"/>
  <c r="M282" i="1"/>
  <c r="N282" i="1" s="1"/>
  <c r="N281" i="1"/>
  <c r="M281" i="1"/>
  <c r="P281" i="1" s="1"/>
  <c r="Q281" i="1" s="1"/>
  <c r="R281" i="1" s="1"/>
  <c r="Q280" i="1"/>
  <c r="R280" i="1" s="1"/>
  <c r="M280" i="1"/>
  <c r="Q279" i="1"/>
  <c r="R279" i="1" s="1"/>
  <c r="M279" i="1"/>
  <c r="N279" i="1" s="1"/>
  <c r="Q278" i="1"/>
  <c r="R278" i="1" s="1"/>
  <c r="M278" i="1"/>
  <c r="O278" i="1" s="1"/>
  <c r="Q277" i="1"/>
  <c r="R277" i="1" s="1"/>
  <c r="O277" i="1"/>
  <c r="N277" i="1"/>
  <c r="M277" i="1"/>
  <c r="Q276" i="1"/>
  <c r="R276" i="1" s="1"/>
  <c r="O276" i="1"/>
  <c r="N276" i="1"/>
  <c r="M276" i="1"/>
  <c r="R275" i="1"/>
  <c r="Q275" i="1"/>
  <c r="N275" i="1"/>
  <c r="M275" i="1"/>
  <c r="O275" i="1" s="1"/>
  <c r="O274" i="1"/>
  <c r="N274" i="1"/>
  <c r="M274" i="1"/>
  <c r="R273" i="1"/>
  <c r="N273" i="1"/>
  <c r="M273" i="1"/>
  <c r="P273" i="1" s="1"/>
  <c r="Q273" i="1" s="1"/>
  <c r="P272" i="1"/>
  <c r="Q272" i="1" s="1"/>
  <c r="R272" i="1" s="1"/>
  <c r="O272" i="1"/>
  <c r="M272" i="1"/>
  <c r="N272" i="1" s="1"/>
  <c r="Q271" i="1"/>
  <c r="R271" i="1" s="1"/>
  <c r="M271" i="1"/>
  <c r="M270" i="1"/>
  <c r="M269" i="1"/>
  <c r="N269" i="1" s="1"/>
  <c r="P268" i="1"/>
  <c r="Q268" i="1" s="1"/>
  <c r="R268" i="1" s="1"/>
  <c r="O268" i="1"/>
  <c r="N268" i="1"/>
  <c r="M268" i="1"/>
  <c r="Q267" i="1"/>
  <c r="R267" i="1" s="1"/>
  <c r="O267" i="1"/>
  <c r="N267" i="1"/>
  <c r="M267" i="1"/>
  <c r="M266" i="1"/>
  <c r="M265" i="1"/>
  <c r="P265" i="1" s="1"/>
  <c r="Q265" i="1" s="1"/>
  <c r="R265" i="1" s="1"/>
  <c r="P264" i="1"/>
  <c r="Q264" i="1" s="1"/>
  <c r="R264" i="1" s="1"/>
  <c r="O264" i="1"/>
  <c r="N264" i="1"/>
  <c r="M264" i="1"/>
  <c r="P263" i="1"/>
  <c r="Q263" i="1" s="1"/>
  <c r="R263" i="1" s="1"/>
  <c r="O263" i="1"/>
  <c r="N263" i="1"/>
  <c r="M263" i="1"/>
  <c r="M262" i="1"/>
  <c r="R261" i="1"/>
  <c r="Q261" i="1"/>
  <c r="M261" i="1"/>
  <c r="M260" i="1"/>
  <c r="R259" i="1"/>
  <c r="Q259" i="1"/>
  <c r="M259" i="1"/>
  <c r="Q258" i="1"/>
  <c r="R258" i="1" s="1"/>
  <c r="O258" i="1"/>
  <c r="N258" i="1"/>
  <c r="M258" i="1"/>
  <c r="R257" i="1"/>
  <c r="Q257" i="1"/>
  <c r="O257" i="1"/>
  <c r="N257" i="1"/>
  <c r="M257" i="1"/>
  <c r="Q256" i="1"/>
  <c r="R256" i="1" s="1"/>
  <c r="M256" i="1"/>
  <c r="O256" i="1" s="1"/>
  <c r="Q255" i="1"/>
  <c r="R255" i="1" s="1"/>
  <c r="O255" i="1"/>
  <c r="N255" i="1"/>
  <c r="M255" i="1"/>
  <c r="R254" i="1"/>
  <c r="Q254" i="1"/>
  <c r="N254" i="1"/>
  <c r="M254" i="1"/>
  <c r="O254" i="1" s="1"/>
  <c r="Q253" i="1"/>
  <c r="R253" i="1" s="1"/>
  <c r="M253" i="1"/>
  <c r="Q252" i="1"/>
  <c r="R252" i="1" s="1"/>
  <c r="M252" i="1"/>
  <c r="N252" i="1" s="1"/>
  <c r="Q251" i="1"/>
  <c r="R251" i="1" s="1"/>
  <c r="O251" i="1"/>
  <c r="M251" i="1"/>
  <c r="N251" i="1" s="1"/>
  <c r="Q250" i="1"/>
  <c r="R250" i="1" s="1"/>
  <c r="O250" i="1"/>
  <c r="N250" i="1"/>
  <c r="M250" i="1"/>
  <c r="M249" i="1"/>
  <c r="P249" i="1" s="1"/>
  <c r="Q249" i="1" s="1"/>
  <c r="R249" i="1" s="1"/>
  <c r="R248" i="1"/>
  <c r="Q248" i="1"/>
  <c r="M248" i="1"/>
  <c r="N248" i="1" s="1"/>
  <c r="R247" i="1"/>
  <c r="Q247" i="1"/>
  <c r="M247" i="1"/>
  <c r="O247" i="1" s="1"/>
  <c r="P246" i="1"/>
  <c r="Q246" i="1" s="1"/>
  <c r="R246" i="1" s="1"/>
  <c r="M246" i="1"/>
  <c r="O246" i="1" s="1"/>
  <c r="R245" i="1"/>
  <c r="Q245" i="1"/>
  <c r="M245" i="1"/>
  <c r="P244" i="1"/>
  <c r="Q244" i="1" s="1"/>
  <c r="R244" i="1" s="1"/>
  <c r="M244" i="1"/>
  <c r="M243" i="1"/>
  <c r="M242" i="1"/>
  <c r="R241" i="1"/>
  <c r="Q241" i="1"/>
  <c r="O241" i="1"/>
  <c r="N241" i="1"/>
  <c r="M241" i="1"/>
  <c r="R240" i="1"/>
  <c r="O240" i="1"/>
  <c r="N240" i="1"/>
  <c r="M240" i="1"/>
  <c r="P240" i="1" s="1"/>
  <c r="Q240" i="1" s="1"/>
  <c r="M239" i="1"/>
  <c r="N239" i="1" s="1"/>
  <c r="M238" i="1"/>
  <c r="P238" i="1" s="1"/>
  <c r="Q238" i="1" s="1"/>
  <c r="R238" i="1" s="1"/>
  <c r="R237" i="1"/>
  <c r="Q237" i="1"/>
  <c r="O237" i="1"/>
  <c r="M237" i="1"/>
  <c r="N237" i="1" s="1"/>
  <c r="N236" i="1"/>
  <c r="M236" i="1"/>
  <c r="O236" i="1" s="1"/>
  <c r="O235" i="1"/>
  <c r="N235" i="1"/>
  <c r="M235" i="1"/>
  <c r="P235" i="1" s="1"/>
  <c r="Q235" i="1" s="1"/>
  <c r="R235" i="1" s="1"/>
  <c r="P234" i="1"/>
  <c r="Q234" i="1" s="1"/>
  <c r="R234" i="1" s="1"/>
  <c r="N234" i="1"/>
  <c r="M234" i="1"/>
  <c r="O234" i="1" s="1"/>
  <c r="P233" i="1"/>
  <c r="Q233" i="1" s="1"/>
  <c r="R233" i="1" s="1"/>
  <c r="O233" i="1"/>
  <c r="M233" i="1"/>
  <c r="N233" i="1" s="1"/>
  <c r="N232" i="1"/>
  <c r="M232" i="1"/>
  <c r="O232" i="1" s="1"/>
  <c r="Q231" i="1"/>
  <c r="R231" i="1" s="1"/>
  <c r="M231" i="1"/>
  <c r="P230" i="1"/>
  <c r="Q230" i="1" s="1"/>
  <c r="R230" i="1" s="1"/>
  <c r="M230" i="1"/>
  <c r="O230" i="1" s="1"/>
  <c r="P229" i="1"/>
  <c r="Q229" i="1" s="1"/>
  <c r="R229" i="1" s="1"/>
  <c r="O229" i="1"/>
  <c r="N229" i="1"/>
  <c r="M229" i="1"/>
  <c r="P228" i="1"/>
  <c r="Q228" i="1" s="1"/>
  <c r="R228" i="1" s="1"/>
  <c r="M228" i="1"/>
  <c r="P227" i="1"/>
  <c r="Q227" i="1" s="1"/>
  <c r="R227" i="1" s="1"/>
  <c r="M227" i="1"/>
  <c r="O227" i="1" s="1"/>
  <c r="P226" i="1"/>
  <c r="Q226" i="1" s="1"/>
  <c r="R226" i="1" s="1"/>
  <c r="O226" i="1"/>
  <c r="N226" i="1"/>
  <c r="M226" i="1"/>
  <c r="P225" i="1"/>
  <c r="Q225" i="1" s="1"/>
  <c r="R225" i="1" s="1"/>
  <c r="O225" i="1"/>
  <c r="N225" i="1"/>
  <c r="M225" i="1"/>
  <c r="M224" i="1"/>
  <c r="P224" i="1" s="1"/>
  <c r="Q224" i="1" s="1"/>
  <c r="R224" i="1" s="1"/>
  <c r="P223" i="1"/>
  <c r="Q223" i="1" s="1"/>
  <c r="R223" i="1" s="1"/>
  <c r="M223" i="1"/>
  <c r="O223" i="1" s="1"/>
  <c r="Q222" i="1"/>
  <c r="R222" i="1" s="1"/>
  <c r="O222" i="1"/>
  <c r="M222" i="1"/>
  <c r="N222" i="1" s="1"/>
  <c r="Q221" i="1"/>
  <c r="R221" i="1" s="1"/>
  <c r="M221" i="1"/>
  <c r="N220" i="1"/>
  <c r="M220" i="1"/>
  <c r="P220" i="1" s="1"/>
  <c r="Q220" i="1" s="1"/>
  <c r="R220" i="1" s="1"/>
  <c r="Q219" i="1"/>
  <c r="R219" i="1" s="1"/>
  <c r="P219" i="1"/>
  <c r="N219" i="1"/>
  <c r="M219" i="1"/>
  <c r="O219" i="1" s="1"/>
  <c r="Q218" i="1"/>
  <c r="R218" i="1" s="1"/>
  <c r="O218" i="1"/>
  <c r="M218" i="1"/>
  <c r="P218" i="1" s="1"/>
  <c r="M217" i="1"/>
  <c r="N217" i="1" s="1"/>
  <c r="N216" i="1"/>
  <c r="M216" i="1"/>
  <c r="P216" i="1" s="1"/>
  <c r="Q216" i="1" s="1"/>
  <c r="R216" i="1" s="1"/>
  <c r="Q215" i="1"/>
  <c r="R215" i="1" s="1"/>
  <c r="M215" i="1"/>
  <c r="M214" i="1"/>
  <c r="Q213" i="1"/>
  <c r="R213" i="1" s="1"/>
  <c r="M213" i="1"/>
  <c r="N213" i="1" s="1"/>
  <c r="Q212" i="1"/>
  <c r="R212" i="1" s="1"/>
  <c r="P212" i="1"/>
  <c r="M212" i="1"/>
  <c r="O212" i="1" s="1"/>
  <c r="R211" i="1"/>
  <c r="Q211" i="1"/>
  <c r="N211" i="1"/>
  <c r="M211" i="1"/>
  <c r="O211" i="1" s="1"/>
  <c r="Q210" i="1"/>
  <c r="R210" i="1" s="1"/>
  <c r="N210" i="1"/>
  <c r="M210" i="1"/>
  <c r="O210" i="1" s="1"/>
  <c r="N209" i="1"/>
  <c r="M209" i="1"/>
  <c r="P209" i="1" s="1"/>
  <c r="Q209" i="1" s="1"/>
  <c r="R209" i="1" s="1"/>
  <c r="P208" i="1"/>
  <c r="Q208" i="1" s="1"/>
  <c r="R208" i="1" s="1"/>
  <c r="O208" i="1"/>
  <c r="N208" i="1"/>
  <c r="M208" i="1"/>
  <c r="Q207" i="1"/>
  <c r="R207" i="1" s="1"/>
  <c r="O207" i="1"/>
  <c r="M207" i="1"/>
  <c r="N207" i="1" s="1"/>
  <c r="M206" i="1"/>
  <c r="R205" i="1"/>
  <c r="Q205" i="1"/>
  <c r="O205" i="1"/>
  <c r="N205" i="1"/>
  <c r="M205" i="1"/>
  <c r="M204" i="1"/>
  <c r="P204" i="1" s="1"/>
  <c r="Q204" i="1" s="1"/>
  <c r="R204" i="1" s="1"/>
  <c r="N203" i="1"/>
  <c r="M203" i="1"/>
  <c r="P203" i="1" s="1"/>
  <c r="Q203" i="1" s="1"/>
  <c r="R203" i="1" s="1"/>
  <c r="Q202" i="1"/>
  <c r="R202" i="1" s="1"/>
  <c r="P202" i="1"/>
  <c r="N202" i="1"/>
  <c r="M202" i="1"/>
  <c r="O202" i="1" s="1"/>
  <c r="R201" i="1"/>
  <c r="O201" i="1"/>
  <c r="M201" i="1"/>
  <c r="P201" i="1" s="1"/>
  <c r="Q201" i="1" s="1"/>
  <c r="M200" i="1"/>
  <c r="P200" i="1" s="1"/>
  <c r="Q200" i="1" s="1"/>
  <c r="R200" i="1" s="1"/>
  <c r="N199" i="1"/>
  <c r="M199" i="1"/>
  <c r="P199" i="1" s="1"/>
  <c r="Q199" i="1" s="1"/>
  <c r="R199" i="1" s="1"/>
  <c r="Q198" i="1"/>
  <c r="R198" i="1" s="1"/>
  <c r="P198" i="1"/>
  <c r="N198" i="1"/>
  <c r="M198" i="1"/>
  <c r="O198" i="1" s="1"/>
  <c r="M197" i="1"/>
  <c r="P196" i="1"/>
  <c r="Q196" i="1" s="1"/>
  <c r="R196" i="1" s="1"/>
  <c r="M196" i="1"/>
  <c r="O196" i="1" s="1"/>
  <c r="N195" i="1"/>
  <c r="M195" i="1"/>
  <c r="P195" i="1" s="1"/>
  <c r="Q195" i="1" s="1"/>
  <c r="R195" i="1" s="1"/>
  <c r="Q194" i="1"/>
  <c r="R194" i="1" s="1"/>
  <c r="P194" i="1"/>
  <c r="N194" i="1"/>
  <c r="M194" i="1"/>
  <c r="O194" i="1" s="1"/>
  <c r="Q193" i="1"/>
  <c r="R193" i="1" s="1"/>
  <c r="O193" i="1"/>
  <c r="N193" i="1"/>
  <c r="M193" i="1"/>
  <c r="P193" i="1" s="1"/>
  <c r="R192" i="1"/>
  <c r="Q192" i="1"/>
  <c r="O192" i="1"/>
  <c r="M192" i="1"/>
  <c r="N192" i="1" s="1"/>
  <c r="M191" i="1"/>
  <c r="M190" i="1"/>
  <c r="M189" i="1"/>
  <c r="M188" i="1"/>
  <c r="N188" i="1" s="1"/>
  <c r="R187" i="1"/>
  <c r="Q187" i="1"/>
  <c r="M187" i="1"/>
  <c r="O187" i="1" s="1"/>
  <c r="R186" i="1"/>
  <c r="O186" i="1"/>
  <c r="N186" i="1"/>
  <c r="M186" i="1"/>
  <c r="P186" i="1" s="1"/>
  <c r="Q186" i="1" s="1"/>
  <c r="R185" i="1"/>
  <c r="Q185" i="1"/>
  <c r="O185" i="1"/>
  <c r="N185" i="1"/>
  <c r="M185" i="1"/>
  <c r="P184" i="1"/>
  <c r="Q184" i="1" s="1"/>
  <c r="R184" i="1" s="1"/>
  <c r="N184" i="1"/>
  <c r="M184" i="1"/>
  <c r="O184" i="1" s="1"/>
  <c r="Q183" i="1"/>
  <c r="R183" i="1" s="1"/>
  <c r="O183" i="1"/>
  <c r="N183" i="1"/>
  <c r="M183" i="1"/>
  <c r="Q182" i="1"/>
  <c r="R182" i="1" s="1"/>
  <c r="O182" i="1"/>
  <c r="M182" i="1"/>
  <c r="N182" i="1" s="1"/>
  <c r="O181" i="1"/>
  <c r="M181" i="1"/>
  <c r="O180" i="1"/>
  <c r="M180" i="1"/>
  <c r="P180" i="1" s="1"/>
  <c r="Q180" i="1" s="1"/>
  <c r="R180" i="1" s="1"/>
  <c r="P179" i="1"/>
  <c r="Q179" i="1" s="1"/>
  <c r="R179" i="1" s="1"/>
  <c r="O179" i="1"/>
  <c r="N179" i="1"/>
  <c r="M179" i="1"/>
  <c r="O178" i="1"/>
  <c r="M178" i="1"/>
  <c r="P178" i="1" s="1"/>
  <c r="Q178" i="1" s="1"/>
  <c r="R178" i="1" s="1"/>
  <c r="R177" i="1"/>
  <c r="Q177" i="1"/>
  <c r="N177" i="1"/>
  <c r="M177" i="1"/>
  <c r="O177" i="1" s="1"/>
  <c r="Q176" i="1"/>
  <c r="R176" i="1" s="1"/>
  <c r="M176" i="1"/>
  <c r="P176" i="1" s="1"/>
  <c r="R175" i="1"/>
  <c r="N175" i="1"/>
  <c r="M175" i="1"/>
  <c r="P175" i="1" s="1"/>
  <c r="Q175" i="1" s="1"/>
  <c r="O174" i="1"/>
  <c r="N174" i="1"/>
  <c r="M174" i="1"/>
  <c r="P174" i="1" s="1"/>
  <c r="Q174" i="1" s="1"/>
  <c r="R174" i="1" s="1"/>
  <c r="Q173" i="1"/>
  <c r="R173" i="1" s="1"/>
  <c r="P173" i="1"/>
  <c r="N173" i="1"/>
  <c r="M173" i="1"/>
  <c r="O173" i="1" s="1"/>
  <c r="Q172" i="1"/>
  <c r="R172" i="1" s="1"/>
  <c r="O172" i="1"/>
  <c r="N172" i="1"/>
  <c r="M172" i="1"/>
  <c r="P172" i="1" s="1"/>
  <c r="M171" i="1"/>
  <c r="P171" i="1" s="1"/>
  <c r="Q171" i="1" s="1"/>
  <c r="R171" i="1" s="1"/>
  <c r="O170" i="1"/>
  <c r="N170" i="1"/>
  <c r="M170" i="1"/>
  <c r="P170" i="1" s="1"/>
  <c r="Q170" i="1" s="1"/>
  <c r="R170" i="1" s="1"/>
  <c r="Q169" i="1"/>
  <c r="R169" i="1" s="1"/>
  <c r="P169" i="1"/>
  <c r="N169" i="1"/>
  <c r="M169" i="1"/>
  <c r="O169" i="1" s="1"/>
  <c r="M168" i="1"/>
  <c r="P168" i="1" s="1"/>
  <c r="Q168" i="1" s="1"/>
  <c r="R168" i="1" s="1"/>
  <c r="M167" i="1"/>
  <c r="N167" i="1" s="1"/>
  <c r="R166" i="1"/>
  <c r="Q166" i="1"/>
  <c r="M166" i="1"/>
  <c r="Q165" i="1"/>
  <c r="R165" i="1" s="1"/>
  <c r="O165" i="1"/>
  <c r="N165" i="1"/>
  <c r="M165" i="1"/>
  <c r="M164" i="1"/>
  <c r="N164" i="1" s="1"/>
  <c r="M163" i="1"/>
  <c r="P163" i="1" s="1"/>
  <c r="Q163" i="1" s="1"/>
  <c r="R163" i="1" s="1"/>
  <c r="R162" i="1"/>
  <c r="Q162" i="1"/>
  <c r="P162" i="1"/>
  <c r="M162" i="1"/>
  <c r="O162" i="1" s="1"/>
  <c r="O161" i="1"/>
  <c r="N161" i="1"/>
  <c r="M161" i="1"/>
  <c r="P161" i="1" s="1"/>
  <c r="Q161" i="1" s="1"/>
  <c r="R161" i="1" s="1"/>
  <c r="M160" i="1"/>
  <c r="N160" i="1" s="1"/>
  <c r="M159" i="1"/>
  <c r="P159" i="1" s="1"/>
  <c r="Q159" i="1" s="1"/>
  <c r="R159" i="1" s="1"/>
  <c r="Q158" i="1"/>
  <c r="R158" i="1" s="1"/>
  <c r="P158" i="1"/>
  <c r="M158" i="1"/>
  <c r="O158" i="1" s="1"/>
  <c r="R157" i="1"/>
  <c r="O157" i="1"/>
  <c r="N157" i="1"/>
  <c r="M157" i="1"/>
  <c r="P157" i="1" s="1"/>
  <c r="Q157" i="1" s="1"/>
  <c r="P156" i="1"/>
  <c r="Q156" i="1" s="1"/>
  <c r="R156" i="1" s="1"/>
  <c r="O156" i="1"/>
  <c r="M156" i="1"/>
  <c r="N156" i="1" s="1"/>
  <c r="M155" i="1"/>
  <c r="O155" i="1" s="1"/>
  <c r="Q154" i="1"/>
  <c r="R154" i="1" s="1"/>
  <c r="P154" i="1"/>
  <c r="M154" i="1"/>
  <c r="O154" i="1" s="1"/>
  <c r="R153" i="1"/>
  <c r="Q153" i="1"/>
  <c r="N153" i="1"/>
  <c r="M153" i="1"/>
  <c r="O153" i="1" s="1"/>
  <c r="Q152" i="1"/>
  <c r="R152" i="1" s="1"/>
  <c r="P152" i="1"/>
  <c r="O152" i="1"/>
  <c r="N152" i="1"/>
  <c r="M151" i="1"/>
  <c r="P151" i="1" s="1"/>
  <c r="Q151" i="1" s="1"/>
  <c r="R151" i="1" s="1"/>
  <c r="P150" i="1"/>
  <c r="Q150" i="1" s="1"/>
  <c r="R150" i="1" s="1"/>
  <c r="O150" i="1"/>
  <c r="N150" i="1"/>
  <c r="O149" i="1"/>
  <c r="M149" i="1"/>
  <c r="P149" i="1" s="1"/>
  <c r="Q149" i="1" s="1"/>
  <c r="R149" i="1" s="1"/>
  <c r="O148" i="1"/>
  <c r="M148" i="1"/>
  <c r="O147" i="1"/>
  <c r="M147" i="1"/>
  <c r="P147" i="1" s="1"/>
  <c r="Q147" i="1" s="1"/>
  <c r="R147" i="1" s="1"/>
  <c r="P146" i="1"/>
  <c r="Q146" i="1" s="1"/>
  <c r="R146" i="1" s="1"/>
  <c r="O146" i="1"/>
  <c r="N146" i="1"/>
  <c r="M146" i="1"/>
  <c r="Q145" i="1"/>
  <c r="R145" i="1" s="1"/>
  <c r="N145" i="1"/>
  <c r="M145" i="1"/>
  <c r="O145" i="1" s="1"/>
  <c r="Q144" i="1"/>
  <c r="R144" i="1" s="1"/>
  <c r="P144" i="1"/>
  <c r="N144" i="1"/>
  <c r="M144" i="1"/>
  <c r="O144" i="1" s="1"/>
  <c r="M143" i="1"/>
  <c r="P143" i="1" s="1"/>
  <c r="Q143" i="1" s="1"/>
  <c r="R143" i="1" s="1"/>
  <c r="O142" i="1"/>
  <c r="M142" i="1"/>
  <c r="P142" i="1" s="1"/>
  <c r="Q142" i="1" s="1"/>
  <c r="R142" i="1" s="1"/>
  <c r="N141" i="1"/>
  <c r="M141" i="1"/>
  <c r="P141" i="1" s="1"/>
  <c r="Q141" i="1" s="1"/>
  <c r="R141" i="1" s="1"/>
  <c r="Q140" i="1"/>
  <c r="R140" i="1" s="1"/>
  <c r="P140" i="1"/>
  <c r="N140" i="1"/>
  <c r="M140" i="1"/>
  <c r="O140" i="1" s="1"/>
  <c r="Q139" i="1"/>
  <c r="R139" i="1" s="1"/>
  <c r="O139" i="1"/>
  <c r="M139" i="1"/>
  <c r="P139" i="1" s="1"/>
  <c r="M138" i="1"/>
  <c r="N138" i="1" s="1"/>
  <c r="N137" i="1"/>
  <c r="M137" i="1"/>
  <c r="P137" i="1" s="1"/>
  <c r="Q137" i="1" s="1"/>
  <c r="R137" i="1" s="1"/>
  <c r="Q136" i="1"/>
  <c r="R136" i="1" s="1"/>
  <c r="M136" i="1"/>
  <c r="Q135" i="1"/>
  <c r="R135" i="1" s="1"/>
  <c r="M135" i="1"/>
  <c r="N135" i="1" s="1"/>
  <c r="P134" i="1"/>
  <c r="Q134" i="1" s="1"/>
  <c r="R134" i="1" s="1"/>
  <c r="O134" i="1"/>
  <c r="N134" i="1"/>
  <c r="M134" i="1"/>
  <c r="Q133" i="1"/>
  <c r="R133" i="1" s="1"/>
  <c r="O133" i="1"/>
  <c r="M133" i="1"/>
  <c r="N133" i="1" s="1"/>
  <c r="Q132" i="1"/>
  <c r="R132" i="1" s="1"/>
  <c r="O132" i="1"/>
  <c r="N132" i="1"/>
  <c r="M132" i="1"/>
  <c r="P132" i="1" s="1"/>
  <c r="O131" i="1"/>
  <c r="N131" i="1"/>
  <c r="M131" i="1"/>
  <c r="P131" i="1" s="1"/>
  <c r="Q131" i="1" s="1"/>
  <c r="R131" i="1" s="1"/>
  <c r="O130" i="1"/>
  <c r="M130" i="1"/>
  <c r="P130" i="1" s="1"/>
  <c r="Q130" i="1" s="1"/>
  <c r="R130" i="1" s="1"/>
  <c r="P129" i="1"/>
  <c r="Q129" i="1" s="1"/>
  <c r="R129" i="1" s="1"/>
  <c r="O129" i="1"/>
  <c r="M129" i="1"/>
  <c r="N129" i="1" s="1"/>
  <c r="O128" i="1"/>
  <c r="N128" i="1"/>
  <c r="M128" i="1"/>
  <c r="P128" i="1" s="1"/>
  <c r="Q128" i="1" s="1"/>
  <c r="R128" i="1" s="1"/>
  <c r="Q127" i="1"/>
  <c r="R127" i="1" s="1"/>
  <c r="O127" i="1"/>
  <c r="N127" i="1"/>
  <c r="M127" i="1"/>
  <c r="P127" i="1" s="1"/>
  <c r="Q126" i="1"/>
  <c r="R126" i="1" s="1"/>
  <c r="P126" i="1"/>
  <c r="O126" i="1"/>
  <c r="N126" i="1"/>
  <c r="M126" i="1"/>
  <c r="P125" i="1"/>
  <c r="Q125" i="1" s="1"/>
  <c r="R125" i="1" s="1"/>
  <c r="O125" i="1"/>
  <c r="M125" i="1"/>
  <c r="N125" i="1" s="1"/>
  <c r="Q124" i="1"/>
  <c r="R124" i="1" s="1"/>
  <c r="O124" i="1"/>
  <c r="N124" i="1"/>
  <c r="M124" i="1"/>
  <c r="P124" i="1" s="1"/>
  <c r="O123" i="1"/>
  <c r="N123" i="1"/>
  <c r="M123" i="1"/>
  <c r="P123" i="1" s="1"/>
  <c r="Q123" i="1" s="1"/>
  <c r="R123" i="1" s="1"/>
  <c r="P122" i="1"/>
  <c r="Q122" i="1" s="1"/>
  <c r="R122" i="1" s="1"/>
  <c r="O122" i="1"/>
  <c r="N122" i="1"/>
  <c r="M122" i="1"/>
  <c r="P121" i="1"/>
  <c r="Q121" i="1" s="1"/>
  <c r="R121" i="1" s="1"/>
  <c r="O121" i="1"/>
  <c r="M121" i="1"/>
  <c r="N121" i="1" s="1"/>
  <c r="O120" i="1"/>
  <c r="N120" i="1"/>
  <c r="M120" i="1"/>
  <c r="P120" i="1" s="1"/>
  <c r="Q120" i="1" s="1"/>
  <c r="R120" i="1" s="1"/>
  <c r="O119" i="1"/>
  <c r="N119" i="1"/>
  <c r="M119" i="1"/>
  <c r="P119" i="1" s="1"/>
  <c r="Q119" i="1" s="1"/>
  <c r="R119" i="1" s="1"/>
  <c r="M118" i="1"/>
  <c r="P118" i="1" s="1"/>
  <c r="Q118" i="1" s="1"/>
  <c r="R118" i="1" s="1"/>
  <c r="P117" i="1"/>
  <c r="Q117" i="1" s="1"/>
  <c r="R117" i="1" s="1"/>
  <c r="O117" i="1"/>
  <c r="M117" i="1"/>
  <c r="N117" i="1" s="1"/>
  <c r="Q116" i="1"/>
  <c r="R116" i="1" s="1"/>
  <c r="O116" i="1"/>
  <c r="N116" i="1"/>
  <c r="M116" i="1"/>
  <c r="P116" i="1" s="1"/>
  <c r="O115" i="1"/>
  <c r="N115" i="1"/>
  <c r="M115" i="1"/>
  <c r="P115" i="1" s="1"/>
  <c r="Q115" i="1" s="1"/>
  <c r="R115" i="1" s="1"/>
  <c r="P114" i="1"/>
  <c r="Q114" i="1" s="1"/>
  <c r="R114" i="1" s="1"/>
  <c r="O114" i="1"/>
  <c r="M114" i="1"/>
  <c r="N114" i="1" s="1"/>
  <c r="P113" i="1"/>
  <c r="Q113" i="1" s="1"/>
  <c r="R113" i="1" s="1"/>
  <c r="O113" i="1"/>
  <c r="M113" i="1"/>
  <c r="N113" i="1" s="1"/>
  <c r="Q112" i="1"/>
  <c r="R112" i="1" s="1"/>
  <c r="M112" i="1"/>
  <c r="R111" i="1"/>
  <c r="Q111" i="1"/>
  <c r="M111" i="1"/>
  <c r="N111" i="1" s="1"/>
  <c r="R110" i="1"/>
  <c r="Q110" i="1"/>
  <c r="O110" i="1"/>
  <c r="M110" i="1"/>
  <c r="N110" i="1" s="1"/>
  <c r="Q109" i="1"/>
  <c r="R109" i="1" s="1"/>
  <c r="M109" i="1"/>
  <c r="R108" i="1"/>
  <c r="Q108" i="1"/>
  <c r="M108" i="1"/>
  <c r="O108" i="1" s="1"/>
  <c r="R107" i="1"/>
  <c r="Q107" i="1"/>
  <c r="O107" i="1"/>
  <c r="N107" i="1"/>
  <c r="M107" i="1"/>
  <c r="Q106" i="1"/>
  <c r="R106" i="1" s="1"/>
  <c r="M106" i="1"/>
  <c r="O106" i="1" s="1"/>
  <c r="Q105" i="1"/>
  <c r="R105" i="1" s="1"/>
  <c r="M105" i="1"/>
  <c r="O105" i="1" s="1"/>
  <c r="Q104" i="1"/>
  <c r="R104" i="1" s="1"/>
  <c r="N104" i="1"/>
  <c r="M104" i="1"/>
  <c r="O104" i="1" s="1"/>
  <c r="N103" i="1"/>
  <c r="M103" i="1"/>
  <c r="P103" i="1" s="1"/>
  <c r="Q103" i="1" s="1"/>
  <c r="R103" i="1" s="1"/>
  <c r="Q102" i="1"/>
  <c r="R102" i="1" s="1"/>
  <c r="P102" i="1"/>
  <c r="N102" i="1"/>
  <c r="M102" i="1"/>
  <c r="O102" i="1" s="1"/>
  <c r="M101" i="1"/>
  <c r="M100" i="1"/>
  <c r="N100" i="1" s="1"/>
  <c r="N99" i="1"/>
  <c r="M99" i="1"/>
  <c r="P99" i="1" s="1"/>
  <c r="Q99" i="1" s="1"/>
  <c r="R99" i="1" s="1"/>
  <c r="Q98" i="1"/>
  <c r="R98" i="1" s="1"/>
  <c r="P98" i="1"/>
  <c r="N98" i="1"/>
  <c r="M98" i="1"/>
  <c r="O98" i="1" s="1"/>
  <c r="M97" i="1"/>
  <c r="M96" i="1"/>
  <c r="N96" i="1" s="1"/>
  <c r="N95" i="1"/>
  <c r="M95" i="1"/>
  <c r="P95" i="1" s="1"/>
  <c r="Q95" i="1" s="1"/>
  <c r="R95" i="1" s="1"/>
  <c r="Q94" i="1"/>
  <c r="R94" i="1" s="1"/>
  <c r="P94" i="1"/>
  <c r="N94" i="1"/>
  <c r="M94" i="1"/>
  <c r="O94" i="1" s="1"/>
  <c r="M93" i="1"/>
  <c r="P93" i="1" s="1"/>
  <c r="Q93" i="1" s="1"/>
  <c r="R93" i="1" s="1"/>
  <c r="O92" i="1"/>
  <c r="M92" i="1"/>
  <c r="P92" i="1" s="1"/>
  <c r="Q92" i="1" s="1"/>
  <c r="R92" i="1" s="1"/>
  <c r="N91" i="1"/>
  <c r="M91" i="1"/>
  <c r="P91" i="1" s="1"/>
  <c r="Q91" i="1" s="1"/>
  <c r="R91" i="1" s="1"/>
  <c r="Q90" i="1"/>
  <c r="R90" i="1" s="1"/>
  <c r="M90" i="1"/>
  <c r="Q89" i="1"/>
  <c r="R89" i="1" s="1"/>
  <c r="M89" i="1"/>
  <c r="Q88" i="1"/>
  <c r="R88" i="1" s="1"/>
  <c r="M88" i="1"/>
  <c r="N88" i="1" s="1"/>
  <c r="Q87" i="1"/>
  <c r="R87" i="1" s="1"/>
  <c r="O87" i="1"/>
  <c r="N87" i="1"/>
  <c r="M87" i="1"/>
  <c r="P86" i="1"/>
  <c r="Q86" i="1" s="1"/>
  <c r="R86" i="1" s="1"/>
  <c r="M86" i="1"/>
  <c r="R85" i="1"/>
  <c r="Q85" i="1"/>
  <c r="O85" i="1"/>
  <c r="M85" i="1"/>
  <c r="N85" i="1" s="1"/>
  <c r="R84" i="1"/>
  <c r="Q84" i="1"/>
  <c r="M84" i="1"/>
  <c r="O84" i="1" s="1"/>
  <c r="M83" i="1"/>
  <c r="P83" i="1" s="1"/>
  <c r="Q83" i="1" s="1"/>
  <c r="R83" i="1" s="1"/>
  <c r="N82" i="1"/>
  <c r="M82" i="1"/>
  <c r="P82" i="1" s="1"/>
  <c r="Q82" i="1" s="1"/>
  <c r="R82" i="1" s="1"/>
  <c r="Q81" i="1"/>
  <c r="R81" i="1" s="1"/>
  <c r="M81" i="1"/>
  <c r="Q80" i="1"/>
  <c r="R80" i="1" s="1"/>
  <c r="M80" i="1"/>
  <c r="N80" i="1" s="1"/>
  <c r="R79" i="1"/>
  <c r="Q79" i="1"/>
  <c r="M79" i="1"/>
  <c r="O79" i="1" s="1"/>
  <c r="Q78" i="1"/>
  <c r="R78" i="1" s="1"/>
  <c r="O78" i="1"/>
  <c r="N78" i="1"/>
  <c r="M78" i="1"/>
  <c r="Q77" i="1"/>
  <c r="R77" i="1" s="1"/>
  <c r="O77" i="1"/>
  <c r="M77" i="1"/>
  <c r="N77" i="1" s="1"/>
  <c r="R76" i="1"/>
  <c r="Q76" i="1"/>
  <c r="N76" i="1"/>
  <c r="M76" i="1"/>
  <c r="O76" i="1" s="1"/>
  <c r="Q75" i="1"/>
  <c r="R75" i="1" s="1"/>
  <c r="M75" i="1"/>
  <c r="O75" i="1" s="1"/>
  <c r="Q74" i="1"/>
  <c r="R74" i="1" s="1"/>
  <c r="O74" i="1"/>
  <c r="N74" i="1"/>
  <c r="M74" i="1"/>
  <c r="R73" i="1"/>
  <c r="Q73" i="1"/>
  <c r="P73" i="1"/>
  <c r="M73" i="1"/>
  <c r="O73" i="1" s="1"/>
  <c r="P72" i="1"/>
  <c r="Q72" i="1" s="1"/>
  <c r="R72" i="1" s="1"/>
  <c r="O72" i="1"/>
  <c r="N72" i="1"/>
  <c r="M72" i="1"/>
  <c r="R71" i="1"/>
  <c r="M71" i="1"/>
  <c r="M70" i="1"/>
  <c r="P70" i="1" s="1"/>
  <c r="Q70" i="1" s="1"/>
  <c r="R70" i="1" s="1"/>
  <c r="P69" i="1"/>
  <c r="Q69" i="1" s="1"/>
  <c r="R69" i="1" s="1"/>
  <c r="O69" i="1"/>
  <c r="N69" i="1"/>
  <c r="M69" i="1"/>
  <c r="M68" i="1"/>
  <c r="N67" i="1"/>
  <c r="M67" i="1"/>
  <c r="O67" i="1" s="1"/>
  <c r="M66" i="1"/>
  <c r="P66" i="1" s="1"/>
  <c r="Q66" i="1" s="1"/>
  <c r="R66" i="1" s="1"/>
  <c r="R65" i="1"/>
  <c r="Q65" i="1"/>
  <c r="O65" i="1"/>
  <c r="N65" i="1"/>
  <c r="M65" i="1"/>
  <c r="O64" i="1"/>
  <c r="M64" i="1"/>
  <c r="P64" i="1" s="1"/>
  <c r="Q64" i="1" s="1"/>
  <c r="R64" i="1" s="1"/>
  <c r="M63" i="1"/>
  <c r="O63" i="1" s="1"/>
  <c r="P62" i="1"/>
  <c r="Q62" i="1" s="1"/>
  <c r="R62" i="1" s="1"/>
  <c r="O62" i="1"/>
  <c r="N62" i="1"/>
  <c r="M62" i="1"/>
  <c r="P61" i="1"/>
  <c r="Q61" i="1" s="1"/>
  <c r="R61" i="1" s="1"/>
  <c r="O61" i="1"/>
  <c r="N61" i="1"/>
  <c r="M61" i="1"/>
  <c r="O60" i="1"/>
  <c r="M60" i="1"/>
  <c r="P60" i="1" s="1"/>
  <c r="Q60" i="1" s="1"/>
  <c r="R60" i="1" s="1"/>
  <c r="O59" i="1"/>
  <c r="M59" i="1"/>
  <c r="M58" i="1"/>
  <c r="P58" i="1" s="1"/>
  <c r="Q58" i="1" s="1"/>
  <c r="R58" i="1" s="1"/>
  <c r="P334" i="1" l="1"/>
  <c r="Q334" i="1" s="1"/>
  <c r="R334" i="1" s="1"/>
  <c r="O334" i="1"/>
  <c r="N334" i="1"/>
  <c r="P373" i="1"/>
  <c r="Q373" i="1" s="1"/>
  <c r="R373" i="1" s="1"/>
  <c r="O373" i="1"/>
  <c r="N58" i="1"/>
  <c r="N373" i="1"/>
  <c r="O58" i="1"/>
  <c r="N93" i="1"/>
  <c r="O100" i="1"/>
  <c r="O138" i="1"/>
  <c r="N151" i="1"/>
  <c r="N163" i="1"/>
  <c r="O188" i="1"/>
  <c r="O217" i="1"/>
  <c r="O231" i="1"/>
  <c r="N231" i="1"/>
  <c r="O280" i="1"/>
  <c r="N280" i="1"/>
  <c r="N294" i="1"/>
  <c r="P328" i="1"/>
  <c r="Q328" i="1" s="1"/>
  <c r="R328" i="1" s="1"/>
  <c r="O328" i="1"/>
  <c r="N366" i="1"/>
  <c r="P366" i="1"/>
  <c r="Q366" i="1" s="1"/>
  <c r="R366" i="1" s="1"/>
  <c r="O366" i="1"/>
  <c r="O93" i="1"/>
  <c r="P100" i="1"/>
  <c r="Q100" i="1" s="1"/>
  <c r="R100" i="1" s="1"/>
  <c r="P138" i="1"/>
  <c r="Q138" i="1" s="1"/>
  <c r="R138" i="1" s="1"/>
  <c r="O151" i="1"/>
  <c r="O163" i="1"/>
  <c r="N176" i="1"/>
  <c r="P188" i="1"/>
  <c r="Q188" i="1" s="1"/>
  <c r="R188" i="1" s="1"/>
  <c r="P217" i="1"/>
  <c r="Q217" i="1" s="1"/>
  <c r="R217" i="1" s="1"/>
  <c r="N238" i="1"/>
  <c r="N246" i="1"/>
  <c r="O252" i="1"/>
  <c r="O259" i="1"/>
  <c r="N259" i="1"/>
  <c r="P266" i="1"/>
  <c r="Q266" i="1" s="1"/>
  <c r="R266" i="1" s="1"/>
  <c r="N266" i="1"/>
  <c r="O294" i="1"/>
  <c r="N328" i="1"/>
  <c r="N360" i="1"/>
  <c r="O176" i="1"/>
  <c r="N196" i="1"/>
  <c r="O238" i="1"/>
  <c r="O266" i="1"/>
  <c r="N287" i="1"/>
  <c r="O313" i="1"/>
  <c r="O360" i="1"/>
  <c r="O265" i="1"/>
  <c r="N265" i="1"/>
  <c r="P365" i="1"/>
  <c r="Q365" i="1" s="1"/>
  <c r="R365" i="1" s="1"/>
  <c r="O365" i="1"/>
  <c r="N224" i="1"/>
  <c r="O224" i="1"/>
  <c r="N365" i="1"/>
  <c r="O253" i="1"/>
  <c r="N253" i="1"/>
  <c r="O409" i="1"/>
  <c r="N409" i="1"/>
  <c r="N66" i="1"/>
  <c r="P101" i="1"/>
  <c r="Q101" i="1" s="1"/>
  <c r="R101" i="1" s="1"/>
  <c r="O101" i="1"/>
  <c r="N171" i="1"/>
  <c r="O189" i="1"/>
  <c r="P189" i="1"/>
  <c r="Q189" i="1" s="1"/>
  <c r="R189" i="1" s="1"/>
  <c r="O260" i="1"/>
  <c r="N260" i="1"/>
  <c r="N295" i="1"/>
  <c r="N321" i="1"/>
  <c r="P329" i="1"/>
  <c r="Q329" i="1" s="1"/>
  <c r="R329" i="1" s="1"/>
  <c r="O329" i="1"/>
  <c r="P409" i="1"/>
  <c r="Q409" i="1" s="1"/>
  <c r="R409" i="1" s="1"/>
  <c r="O66" i="1"/>
  <c r="N101" i="1"/>
  <c r="N139" i="1"/>
  <c r="O171" i="1"/>
  <c r="N189" i="1"/>
  <c r="N218" i="1"/>
  <c r="P260" i="1"/>
  <c r="Q260" i="1" s="1"/>
  <c r="R260" i="1" s="1"/>
  <c r="O295" i="1"/>
  <c r="O321" i="1"/>
  <c r="N329" i="1"/>
  <c r="N106" i="1"/>
  <c r="P197" i="1"/>
  <c r="Q197" i="1" s="1"/>
  <c r="R197" i="1" s="1"/>
  <c r="O197" i="1"/>
  <c r="P398" i="1"/>
  <c r="Q398" i="1" s="1"/>
  <c r="R398" i="1" s="1"/>
  <c r="O398" i="1"/>
  <c r="O80" i="1"/>
  <c r="O190" i="1"/>
  <c r="N190" i="1"/>
  <c r="N197" i="1"/>
  <c r="N247" i="1"/>
  <c r="O355" i="1"/>
  <c r="N368" i="1"/>
  <c r="N398" i="1"/>
  <c r="O166" i="1"/>
  <c r="N166" i="1"/>
  <c r="P190" i="1"/>
  <c r="Q190" i="1" s="1"/>
  <c r="R190" i="1" s="1"/>
  <c r="O261" i="1"/>
  <c r="N261" i="1"/>
  <c r="P355" i="1"/>
  <c r="Q355" i="1" s="1"/>
  <c r="R355" i="1" s="1"/>
  <c r="O368" i="1"/>
  <c r="O81" i="1"/>
  <c r="N81" i="1"/>
  <c r="O109" i="1"/>
  <c r="N109" i="1"/>
  <c r="P191" i="1"/>
  <c r="Q191" i="1" s="1"/>
  <c r="R191" i="1" s="1"/>
  <c r="O191" i="1"/>
  <c r="N191" i="1"/>
  <c r="O316" i="1"/>
  <c r="N308" i="1"/>
  <c r="P96" i="1"/>
  <c r="Q96" i="1" s="1"/>
  <c r="R96" i="1" s="1"/>
  <c r="O88" i="1"/>
  <c r="O160" i="1"/>
  <c r="P290" i="1"/>
  <c r="Q290" i="1" s="1"/>
  <c r="R290" i="1" s="1"/>
  <c r="O290" i="1"/>
  <c r="P384" i="1"/>
  <c r="Q384" i="1" s="1"/>
  <c r="R384" i="1" s="1"/>
  <c r="O303" i="1"/>
  <c r="N83" i="1"/>
  <c r="P206" i="1"/>
  <c r="Q206" i="1" s="1"/>
  <c r="R206" i="1" s="1"/>
  <c r="N206" i="1"/>
  <c r="P308" i="1"/>
  <c r="Q308" i="1" s="1"/>
  <c r="R308" i="1" s="1"/>
  <c r="N385" i="1"/>
  <c r="P385" i="1"/>
  <c r="Q385" i="1" s="1"/>
  <c r="R385" i="1" s="1"/>
  <c r="O83" i="1"/>
  <c r="N89" i="1"/>
  <c r="O89" i="1"/>
  <c r="P97" i="1"/>
  <c r="Q97" i="1" s="1"/>
  <c r="R97" i="1" s="1"/>
  <c r="O97" i="1"/>
  <c r="N97" i="1"/>
  <c r="N200" i="1"/>
  <c r="O269" i="1"/>
  <c r="O332" i="1"/>
  <c r="N338" i="1"/>
  <c r="O338" i="1"/>
  <c r="N351" i="1"/>
  <c r="O385" i="1"/>
  <c r="O200" i="1"/>
  <c r="P269" i="1"/>
  <c r="Q269" i="1" s="1"/>
  <c r="R269" i="1" s="1"/>
  <c r="P332" i="1"/>
  <c r="Q332" i="1" s="1"/>
  <c r="R332" i="1" s="1"/>
  <c r="O90" i="1"/>
  <c r="N90" i="1"/>
  <c r="N168" i="1"/>
  <c r="O243" i="1"/>
  <c r="P243" i="1"/>
  <c r="Q243" i="1" s="1"/>
  <c r="R243" i="1" s="1"/>
  <c r="O70" i="1"/>
  <c r="N118" i="1"/>
  <c r="N143" i="1"/>
  <c r="P155" i="1"/>
  <c r="Q155" i="1" s="1"/>
  <c r="R155" i="1" s="1"/>
  <c r="O168" i="1"/>
  <c r="N243" i="1"/>
  <c r="O270" i="1"/>
  <c r="P270" i="1"/>
  <c r="Q270" i="1" s="1"/>
  <c r="R270" i="1" s="1"/>
  <c r="N304" i="1"/>
  <c r="N346" i="1"/>
  <c r="N364" i="1"/>
  <c r="N380" i="1"/>
  <c r="P380" i="1"/>
  <c r="Q380" i="1" s="1"/>
  <c r="R380" i="1" s="1"/>
  <c r="O380" i="1"/>
  <c r="O96" i="1"/>
  <c r="N384" i="1"/>
  <c r="O413" i="1"/>
  <c r="N413" i="1"/>
  <c r="P242" i="1"/>
  <c r="Q242" i="1" s="1"/>
  <c r="R242" i="1" s="1"/>
  <c r="O242" i="1"/>
  <c r="N155" i="1"/>
  <c r="N70" i="1"/>
  <c r="N84" i="1"/>
  <c r="N105" i="1"/>
  <c r="O112" i="1"/>
  <c r="N112" i="1"/>
  <c r="O118" i="1"/>
  <c r="O143" i="1"/>
  <c r="N270" i="1"/>
  <c r="N333" i="1"/>
  <c r="O346" i="1"/>
  <c r="O364" i="1"/>
  <c r="N372" i="1"/>
  <c r="N337" i="1"/>
  <c r="N75" i="1"/>
  <c r="P160" i="1"/>
  <c r="Q160" i="1" s="1"/>
  <c r="R160" i="1" s="1"/>
  <c r="O167" i="1"/>
  <c r="P324" i="1"/>
  <c r="Q324" i="1" s="1"/>
  <c r="R324" i="1" s="1"/>
  <c r="O324" i="1"/>
  <c r="N324" i="1"/>
  <c r="P167" i="1"/>
  <c r="Q167" i="1" s="1"/>
  <c r="R167" i="1" s="1"/>
  <c r="O206" i="1"/>
  <c r="P63" i="1"/>
  <c r="Q63" i="1" s="1"/>
  <c r="R63" i="1" s="1"/>
  <c r="N63" i="1"/>
  <c r="O214" i="1"/>
  <c r="P214" i="1"/>
  <c r="Q214" i="1" s="1"/>
  <c r="R214" i="1" s="1"/>
  <c r="N214" i="1"/>
  <c r="N230" i="1"/>
  <c r="P299" i="1"/>
  <c r="Q299" i="1" s="1"/>
  <c r="R299" i="1" s="1"/>
  <c r="O299" i="1"/>
  <c r="O372" i="1"/>
  <c r="N303" i="1"/>
  <c r="N317" i="1"/>
  <c r="N290" i="1"/>
  <c r="O213" i="1"/>
  <c r="N242" i="1"/>
  <c r="N249" i="1"/>
  <c r="O249" i="1"/>
  <c r="O221" i="1"/>
  <c r="N221" i="1"/>
  <c r="O111" i="1"/>
  <c r="O309" i="1"/>
  <c r="P309" i="1"/>
  <c r="Q309" i="1" s="1"/>
  <c r="R309" i="1" s="1"/>
  <c r="O71" i="1"/>
  <c r="N71" i="1"/>
  <c r="N201" i="1"/>
  <c r="N223" i="1"/>
  <c r="N299" i="1"/>
  <c r="P392" i="1"/>
  <c r="Q392" i="1" s="1"/>
  <c r="R392" i="1" s="1"/>
  <c r="N392" i="1"/>
  <c r="O421" i="1"/>
  <c r="N421" i="1"/>
  <c r="N374" i="1"/>
  <c r="O374" i="1"/>
  <c r="O401" i="1"/>
  <c r="N401" i="1"/>
  <c r="P59" i="1"/>
  <c r="Q59" i="1" s="1"/>
  <c r="R59" i="1" s="1"/>
  <c r="N59" i="1"/>
  <c r="O248" i="1"/>
  <c r="N271" i="1"/>
  <c r="O271" i="1"/>
  <c r="N283" i="1"/>
  <c r="N310" i="1"/>
  <c r="O310" i="1"/>
  <c r="P374" i="1"/>
  <c r="Q374" i="1" s="1"/>
  <c r="R374" i="1" s="1"/>
  <c r="P401" i="1"/>
  <c r="Q401" i="1" s="1"/>
  <c r="R401" i="1" s="1"/>
  <c r="N256" i="1"/>
  <c r="N278" i="1"/>
  <c r="N92" i="1"/>
  <c r="N130" i="1"/>
  <c r="O135" i="1"/>
  <c r="N142" i="1"/>
  <c r="N147" i="1"/>
  <c r="N180" i="1"/>
  <c r="N227" i="1"/>
  <c r="O244" i="1"/>
  <c r="N244" i="1"/>
  <c r="N312" i="1"/>
  <c r="P369" i="1"/>
  <c r="Q369" i="1" s="1"/>
  <c r="R369" i="1" s="1"/>
  <c r="O369" i="1"/>
  <c r="O215" i="1"/>
  <c r="N215" i="1"/>
  <c r="P67" i="1"/>
  <c r="Q67" i="1" s="1"/>
  <c r="R67" i="1" s="1"/>
  <c r="N79" i="1"/>
  <c r="O136" i="1"/>
  <c r="N136" i="1"/>
  <c r="N159" i="1"/>
  <c r="O164" i="1"/>
  <c r="O175" i="1"/>
  <c r="N204" i="1"/>
  <c r="O209" i="1"/>
  <c r="N228" i="1"/>
  <c r="O228" i="1"/>
  <c r="O239" i="1"/>
  <c r="O245" i="1"/>
  <c r="N245" i="1"/>
  <c r="P262" i="1"/>
  <c r="Q262" i="1" s="1"/>
  <c r="R262" i="1" s="1"/>
  <c r="N262" i="1"/>
  <c r="O273" i="1"/>
  <c r="N342" i="1"/>
  <c r="N370" i="1"/>
  <c r="P370" i="1"/>
  <c r="Q370" i="1" s="1"/>
  <c r="R370" i="1" s="1"/>
  <c r="O370" i="1"/>
  <c r="O68" i="1"/>
  <c r="N68" i="1"/>
  <c r="O159" i="1"/>
  <c r="P164" i="1"/>
  <c r="Q164" i="1" s="1"/>
  <c r="R164" i="1" s="1"/>
  <c r="O204" i="1"/>
  <c r="P239" i="1"/>
  <c r="Q239" i="1" s="1"/>
  <c r="R239" i="1" s="1"/>
  <c r="O262" i="1"/>
  <c r="N291" i="1"/>
  <c r="O405" i="1"/>
  <c r="N405" i="1"/>
  <c r="P68" i="1"/>
  <c r="Q68" i="1" s="1"/>
  <c r="R68" i="1" s="1"/>
  <c r="O86" i="1"/>
  <c r="N86" i="1"/>
  <c r="P148" i="1"/>
  <c r="Q148" i="1" s="1"/>
  <c r="R148" i="1" s="1"/>
  <c r="N148" i="1"/>
  <c r="P181" i="1"/>
  <c r="Q181" i="1" s="1"/>
  <c r="R181" i="1" s="1"/>
  <c r="N181" i="1"/>
  <c r="O279" i="1"/>
  <c r="O291" i="1"/>
  <c r="N325" i="1"/>
  <c r="O417" i="1"/>
  <c r="N417" i="1"/>
  <c r="N60" i="1"/>
  <c r="N64" i="1"/>
  <c r="N149" i="1"/>
  <c r="N178" i="1"/>
  <c r="P232" i="1"/>
  <c r="Q232" i="1" s="1"/>
  <c r="R232" i="1" s="1"/>
  <c r="P236" i="1"/>
  <c r="Q236" i="1" s="1"/>
  <c r="R236" i="1" s="1"/>
  <c r="P378" i="1"/>
  <c r="Q378" i="1" s="1"/>
  <c r="R378" i="1" s="1"/>
  <c r="O399" i="1"/>
  <c r="P403" i="1"/>
  <c r="Q403" i="1" s="1"/>
  <c r="R403" i="1" s="1"/>
  <c r="P407" i="1"/>
  <c r="Q407" i="1" s="1"/>
  <c r="R407" i="1" s="1"/>
  <c r="P411" i="1"/>
  <c r="Q411" i="1" s="1"/>
  <c r="R411" i="1" s="1"/>
  <c r="P415" i="1"/>
  <c r="Q415" i="1" s="1"/>
  <c r="R415" i="1" s="1"/>
  <c r="P419" i="1"/>
  <c r="Q419" i="1" s="1"/>
  <c r="R419" i="1" s="1"/>
  <c r="O395" i="1"/>
  <c r="P399" i="1"/>
  <c r="Q399" i="1" s="1"/>
  <c r="R399" i="1" s="1"/>
  <c r="N426" i="1"/>
  <c r="O82" i="1"/>
  <c r="O91" i="1"/>
  <c r="O95" i="1"/>
  <c r="O99" i="1"/>
  <c r="O103" i="1"/>
  <c r="O137" i="1"/>
  <c r="O141" i="1"/>
  <c r="O195" i="1"/>
  <c r="O199" i="1"/>
  <c r="O203" i="1"/>
  <c r="O216" i="1"/>
  <c r="O220" i="1"/>
  <c r="O281" i="1"/>
  <c r="O285" i="1"/>
  <c r="O289" i="1"/>
  <c r="O293" i="1"/>
  <c r="N315" i="1"/>
  <c r="O319" i="1"/>
  <c r="O323" i="1"/>
  <c r="O327" i="1"/>
  <c r="N391" i="1"/>
  <c r="O426" i="1"/>
  <c r="N73" i="1"/>
  <c r="N108" i="1"/>
  <c r="N154" i="1"/>
  <c r="N158" i="1"/>
  <c r="N162" i="1"/>
  <c r="N187" i="1"/>
  <c r="N212" i="1"/>
  <c r="O315" i="1"/>
  <c r="O391" i="1"/>
  <c r="N404" i="1"/>
  <c r="N408" i="1"/>
  <c r="N412" i="1"/>
  <c r="N416" i="1"/>
  <c r="N420" i="1"/>
  <c r="N428" i="1"/>
  <c r="N429" i="1"/>
  <c r="N314" i="1"/>
  <c r="N339" i="1"/>
  <c r="N390" i="1"/>
  <c r="N403" i="1"/>
  <c r="N407" i="1"/>
  <c r="N411" i="1"/>
  <c r="N415" i="1"/>
  <c r="N419" i="1"/>
  <c r="N425" i="1"/>
  <c r="N432" i="1"/>
</calcChain>
</file>

<file path=xl/sharedStrings.xml><?xml version="1.0" encoding="utf-8"?>
<sst xmlns="http://schemas.openxmlformats.org/spreadsheetml/2006/main" count="3902" uniqueCount="1471">
  <si>
    <t>№</t>
  </si>
  <si>
    <t>Туман</t>
  </si>
  <si>
    <t>Манзил
(МФЙ, кўча)</t>
  </si>
  <si>
    <t>Бош режадаги ҳолати ва қавати</t>
  </si>
  <si>
    <t>Таклиф қавати ва ҳудуд</t>
  </si>
  <si>
    <t xml:space="preserve">Таклиф Фаолият тури </t>
  </si>
  <si>
    <t>Таклиф Фалияти филтир учун</t>
  </si>
  <si>
    <t>Таклиф Ер майдони
(га)</t>
  </si>
  <si>
    <t>Таклиф Харита</t>
  </si>
  <si>
    <r>
      <t xml:space="preserve">Таклиф Бош режага таклиф киритилганлиги
</t>
    </r>
    <r>
      <rPr>
        <sz val="9"/>
        <color rgb="FFFF0000"/>
        <rFont val="Calibri"/>
        <family val="2"/>
        <scheme val="minor"/>
      </rPr>
      <t xml:space="preserve">(таклиф берилган лекин киритилмаган бўлас </t>
    </r>
    <r>
      <rPr>
        <b/>
        <sz val="9"/>
        <color rgb="FFFF0000"/>
        <rFont val="Calibri"/>
        <family val="2"/>
        <scheme val="minor"/>
      </rPr>
      <t>КИРИТИЛМАГАН</t>
    </r>
    <r>
      <rPr>
        <sz val="9"/>
        <color rgb="FFFF0000"/>
        <rFont val="Calibri"/>
        <family val="2"/>
        <scheme val="minor"/>
      </rPr>
      <t xml:space="preserve"> хисобланади)</t>
    </r>
  </si>
  <si>
    <t>Таклиф тури
(Реновация, Инвестиция, Аукцион)</t>
  </si>
  <si>
    <t>Этажность</t>
  </si>
  <si>
    <t>Қурилиш ости майдони</t>
  </si>
  <si>
    <t>Бинонинг умумий майдони</t>
  </si>
  <si>
    <t>Хизмат кўрсатиш сохаси</t>
  </si>
  <si>
    <t>Яшаш майдон</t>
  </si>
  <si>
    <t>хонадонлар сони</t>
  </si>
  <si>
    <t>Ахоли сони</t>
  </si>
  <si>
    <t>Бектемир</t>
  </si>
  <si>
    <t xml:space="preserve">Мажнунтол МФЙ Охангорон шох кўчаси бўйида </t>
  </si>
  <si>
    <t>Консервация яшил худуд (қаватлар сони 0)</t>
  </si>
  <si>
    <t>Реконструкция
(16 қават)</t>
  </si>
  <si>
    <t>Кўп хонадонли турар жой мажмуаси ва  Мактаб гача таълим муассасаси</t>
  </si>
  <si>
    <t>Кўп қаватли турар жой ва Савдо маиший</t>
  </si>
  <si>
    <t>Киритилмаган</t>
  </si>
  <si>
    <t>Аукцион</t>
  </si>
  <si>
    <t>Абай МФЙ Х.Байқаро 1-бекр кўчаси 22-уй қаршисида</t>
  </si>
  <si>
    <t>Реконструкция
(3 қават)</t>
  </si>
  <si>
    <t>офис биноси</t>
  </si>
  <si>
    <t xml:space="preserve">Савдо ва маиший ҳизмат кўрсатиш </t>
  </si>
  <si>
    <t>Киритилган</t>
  </si>
  <si>
    <t xml:space="preserve">Миришкор МФЙ Водник дахаси </t>
  </si>
  <si>
    <t>Реконструкция Аралаш фойдаланш (қаватлар сони 5)</t>
  </si>
  <si>
    <t>Реконструкция
(12 қават)</t>
  </si>
  <si>
    <t>Кўп хонадонли турар жой 
мажмуаси </t>
  </si>
  <si>
    <t>Инвестиция</t>
  </si>
  <si>
    <t>Зилола МФЙ Рохат кўчаси бўйида</t>
  </si>
  <si>
    <t>Реновация Аралаш фойдаланш (қаватлар сони 5)</t>
  </si>
  <si>
    <t>(16 қаватли ) 3 та кўп қаватли уй-жойлар биринчи қаватларида савдо ва маиший хизмат кўрсатиш биноси ва Мактабгача таълим муасссаси ҳамда 1 та Мактаб</t>
  </si>
  <si>
    <t xml:space="preserve">МиришкорМФЙ </t>
  </si>
  <si>
    <t xml:space="preserve">Консервация сув бўйлари ва хавзалари (қаватлар сони 0) </t>
  </si>
  <si>
    <t>Реконструкция
(40 қават)</t>
  </si>
  <si>
    <t>“Чирчиқ дарёси бўйида савдо маиший кўп хонадонли турар жой ва бизнес марказлар кўнгил очар боғлар</t>
  </si>
  <si>
    <t>Забардаст МФЙ Янгихаёт кўчаси</t>
  </si>
  <si>
    <t>Консервация ривожланиш худуди (қаватлар сони 0)</t>
  </si>
  <si>
    <t>Реконструкция
(34 қават)</t>
  </si>
  <si>
    <t>Савдо маиший кўп хонадонли турар жой ва бизнес марказлар кўнгил очар боғлар</t>
  </si>
  <si>
    <t>Олтинтопган МФЙ Олтинтопган ва Жамил тошкандий кўчалари кесишмасида</t>
  </si>
  <si>
    <t>Реновация Аралаш фойдаланиш (қаватлар сони 5)</t>
  </si>
  <si>
    <t>Реновация
(12 қават)</t>
  </si>
  <si>
    <t>Кўп хонадонли турар жой мажмуаси, маиший хизмат кўрсатиш бинолари ва Мактабгача таълим муасссаси</t>
  </si>
  <si>
    <t>Реновация</t>
  </si>
  <si>
    <t>Забардаст МФЙ Паркент тракт кўчаси</t>
  </si>
  <si>
    <t>Реконструкция Ахоли яшаш жойи (қаватлар сони 3)</t>
  </si>
  <si>
    <t>Х.Байқаро МФЙ, Х.Байқаро ва Юқори чирчиқ кўчалари кесишмасида</t>
  </si>
  <si>
    <t>Реконструкция Ахоли яшаш жойи (қаватлар сони 5)</t>
  </si>
  <si>
    <t>Х.Байқаро МФЙ, катта ариқ кўчаси</t>
  </si>
  <si>
    <t>Реновация
(16 қават)</t>
  </si>
  <si>
    <t>Зилола МФЙ, Водник дахаси</t>
  </si>
  <si>
    <t>Рохат МФЙ, Водник дахаси</t>
  </si>
  <si>
    <t>Реновация
(10 қават)</t>
  </si>
  <si>
    <t>Чашма МФЙ,  ИҚБОЛ МФЙ</t>
  </si>
  <si>
    <t>Реновация Ахоли яшаш жойи (қаватлар сони 5)</t>
  </si>
  <si>
    <t>Ийк ота МФЙ, Дўстона кўчаси</t>
  </si>
  <si>
    <t>Реновация Аралаш фойдаланиш (қаватлар сони 3)</t>
  </si>
  <si>
    <t>Кўп хонадонли турар жой мажмуаси, маиший хизмат кўрсатиш бинолари ва Мактабгача таълим муасссаси хамда кўнгил очар боғлар</t>
  </si>
  <si>
    <t>Нурафшон МФЙ, Нурафшон ва Истиқбол кўчалари</t>
  </si>
  <si>
    <t>Реновация Аралаш фойдаланиш (қаватлар сони7)</t>
  </si>
  <si>
    <t xml:space="preserve"> Иқбол МФЙ Водник дахаси 33А-уй ен томонида</t>
  </si>
  <si>
    <t>Кўп хонадонли турар жой ва махалла маркази қуриш топшириғи берилганлиги юзасидан </t>
  </si>
  <si>
    <t>Абай МФЙ Г-60 кўчаси</t>
  </si>
  <si>
    <t>Ахоли яшаш жойи (қаватлар сони 5)</t>
  </si>
  <si>
    <t>Кўп хонадонли турар жой бинолари қуриш топшириғи берилганлиги юзасидан </t>
  </si>
  <si>
    <t>Бектемир шох кўчаси бўйлаб</t>
  </si>
  <si>
    <t>Реконструкция Аралаш фойдаланш (қаватлар сони 3-5)</t>
  </si>
  <si>
    <t>Реновация
(14 қават)</t>
  </si>
  <si>
    <t>Савдо маиший кўп хонадонли турар жой ва бизнес марказлар</t>
  </si>
  <si>
    <t>Охангорон ва Ўзбекистон кўчаси кесишмаси</t>
  </si>
  <si>
    <t>Реконструкция Ривожланиш худуди (қаватлар сони 3)</t>
  </si>
  <si>
    <t xml:space="preserve"> Савдо маиший кўп хонадонли турар жой ва бизнес марказлар</t>
  </si>
  <si>
    <t xml:space="preserve">Гулбоғ МФЙ, </t>
  </si>
  <si>
    <t>Консервация қизил чизиқ худуди (қаватлар сони 0)</t>
  </si>
  <si>
    <t>Реконструкция
(7 қават)</t>
  </si>
  <si>
    <t>Давлат хусусий шериклик объекти, ("Гулбоғ" маҳалла биноси 7 қаватли тадбиркорлик объектлари)</t>
  </si>
  <si>
    <t>Замонавий маҳалла биноси</t>
  </si>
  <si>
    <t xml:space="preserve"> Нирлийўл МФЙ,</t>
  </si>
  <si>
    <t>Реконструкция Ахоли яшаш худуди (қаватлар сони 3)</t>
  </si>
  <si>
    <t>Реконструкция
(6 қават)</t>
  </si>
  <si>
    <t>Давлат хусусий шериклик объекти, ("Нурли йўл" маҳалла биноси 6 қаватли тадбиркорлик объектлари)</t>
  </si>
  <si>
    <t xml:space="preserve">Киритилган </t>
  </si>
  <si>
    <t xml:space="preserve"> Cохил МФЙ, </t>
  </si>
  <si>
    <t>Давлат хусусий шериклик объекти, ("Сохил" маҳалла биноси 6 қаватли тадбиркорлик объектлари)</t>
  </si>
  <si>
    <t>Мажнунтол МФЙ,</t>
  </si>
  <si>
    <t>Давлат хусусий шериклик объекти, ("Мажнунтол" маҳалла биноси 6 қаватли тадбиркорлик объектлари)</t>
  </si>
  <si>
    <t xml:space="preserve">Устозлар МФЙ, </t>
  </si>
  <si>
    <t>Давлат хусусий шериклик объекти, ("Устозлар" маҳалла биноси 6 қаватли тадбиркорлик объектлари)</t>
  </si>
  <si>
    <t xml:space="preserve">Мусаффо МФЙ, </t>
  </si>
  <si>
    <t>Давлат хусусий шериклик объекти, ("Мусаффо" маҳалла биноси 6 қаватли тадбиркорлик объектлари)</t>
  </si>
  <si>
    <t>Сергели</t>
  </si>
  <si>
    <t xml:space="preserve">Ног‘ай-қо‘ргон ТХАЙ ко‘часи </t>
  </si>
  <si>
    <t>Қизил чизиғда 0-қават</t>
  </si>
  <si>
    <t>Ренаватсия 2-қават</t>
  </si>
  <si>
    <t xml:space="preserve">1 қаватлик автомобилларга техник хизмат кўрсатиш </t>
  </si>
  <si>
    <t>Юқори Дархон МФЙ</t>
  </si>
  <si>
    <t>Консерватсия сув бўйлари ва хавзалари 0-қават</t>
  </si>
  <si>
    <t>1 қаватлик савдо ва маиший хизмат кўрсатиш объектлари</t>
  </si>
  <si>
    <t>Садоқатли МФЙ</t>
  </si>
  <si>
    <t>Реноватсия Яшил худуд 0-қават</t>
  </si>
  <si>
    <t>Ренаватсия 5-қават</t>
  </si>
  <si>
    <t>Логистика маркази омборхона ва 4 қаватли офис бинолари</t>
  </si>
  <si>
    <t xml:space="preserve">Қумариқ МФЙ </t>
  </si>
  <si>
    <t xml:space="preserve">Қизил чизиғ, Консерватсия ва Реноватсия 5-қават </t>
  </si>
  <si>
    <t>Нодавлат умумтаълим ва мактабгача таълим муассасаларини қуриш</t>
  </si>
  <si>
    <t>Таълим</t>
  </si>
  <si>
    <t xml:space="preserve">Жонариқ МФЙ </t>
  </si>
  <si>
    <t>Консерватсия, Транспорт Аеропорт 0-қават</t>
  </si>
  <si>
    <t>Савдо ва маиший хизмат кўрсатиш ҳамда офис</t>
  </si>
  <si>
    <t>ҚИСМАН КИРИТИЛДИ</t>
  </si>
  <si>
    <t>Софдил МФЙ</t>
  </si>
  <si>
    <t>Реноватсия 2 қават</t>
  </si>
  <si>
    <t xml:space="preserve"> 4 қаватли Савдо ва маиший ҳизмат кўрсатиш</t>
  </si>
  <si>
    <t>Зийнат МФЙ</t>
  </si>
  <si>
    <t>Реновация 5-қават</t>
  </si>
  <si>
    <t>Давлат-хусусий шериклик шартлари асосида замонавий маҳалла марказлари бинолар.                                                   Таклиф: Қаватини кўпайтириб “Реновация ҳудуд”га, 5га қават ўзгартириш киритиш.</t>
  </si>
  <si>
    <t>Консерватсия Яшил ҳудуд 0 қават.</t>
  </si>
  <si>
    <t>Давлат-хусусий шериклик шартлари асосида замонавий маҳалла марказлари бинолар.                                                   Таклиф: Қаватини кўпайтириб “Реновация ҳудуд”га, 5 қаватга ўзгартириш киритиш.</t>
  </si>
  <si>
    <t>Қо‘ш-қо‘рг‘он МФЙ</t>
  </si>
  <si>
    <t>Реновация 2-қават</t>
  </si>
  <si>
    <t>Аеропорд учун логистика бинолари қуриш учун ажратилга ер</t>
  </si>
  <si>
    <t>Қут барака  МФЙ</t>
  </si>
  <si>
    <t>Реноватсия, Ривожланиш ҳудуди 9 қават</t>
  </si>
  <si>
    <t>Ҳозирги ҳолат “Реновация ҳудуд” 9 қават берилган 
Таклиф: ер майдони тугалланмаган ва аҳоли учун истиқомат қилиш муҳити тўлиқ яратилмаганлиги  ҳамда бугунги кунда такомиллаштиришга еҳтиёжи бўлганлиги сабабли  қаватини камайтириб ишлаб чиқаришга ўзгртириш</t>
  </si>
  <si>
    <t>Савдо ва маиший ҳизмат кўрсатиш</t>
  </si>
  <si>
    <t>Олтин водий МФЙ</t>
  </si>
  <si>
    <t>Реноватсия, Ривожланиш ҳудуди 5 қават.</t>
  </si>
  <si>
    <t>Реновация 12-қават</t>
  </si>
  <si>
    <t>Ҳозирги ҳолат “Реновация ҳудуд” 5 қават берилган
Таклиф: 12-7 қаватгача ўзгартириш киритиш.</t>
  </si>
  <si>
    <t>Консерватсия яшил ҳудуд 0-қават</t>
  </si>
  <si>
    <t>Ренаватсия 12-қават</t>
  </si>
  <si>
    <t>Ҳозирги ҳолат “Кансерватсия ҳудуд” 0 қават берилган
Таклиф тадбиркорлик субйекти бўлган ер майдони тугалланган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“Ренаватсия ҳудуд”га 16 қават ўзгартириш киритиш.</t>
  </si>
  <si>
    <t>Хонободтепа МФЙ, Қурувчилар МФЙ</t>
  </si>
  <si>
    <t>Реноватсия 5 қават</t>
  </si>
  <si>
    <t>Реновация 16-қават</t>
  </si>
  <si>
    <t>Ҳозирги ҳолат “Реновация ҳудуд” 5 қават берилган 
Таклиф тугалланган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“Реновация ҳудуд”га ўзгартириш киритиш.</t>
  </si>
  <si>
    <t>Сугʻдиёна МФЙ</t>
  </si>
  <si>
    <t>Консерватсия, Маъмурий марказлар; Консерватсия, Яшил ҳудуд</t>
  </si>
  <si>
    <t>Реновация 25-қават</t>
  </si>
  <si>
    <t>Ҳозирги ҳолат “Кансерватсия ҳудуд” 0 қават берилган
Таклиф турар жой, бизнес марказ комплексларининг “Реновация  лойиҳаси” ишлаб чиқилганлиги сабабли “Реновация ҳудуд”га ўзгартириш киритиш.</t>
  </si>
  <si>
    <t>https://maps.app.goo.gl/BHK9GwLvJiVBRn8j6, https://maps.app.goo.gl/yew9S5Z7JuviBvk4c7, https://maps.app.goo.gl/bpPcrdg56fT6nDaYe7</t>
  </si>
  <si>
    <t xml:space="preserve">Асробод МФЙ, Моний кўчаси </t>
  </si>
  <si>
    <t>Консерватсия Мактаб ҳудуди 0 қават.</t>
  </si>
  <si>
    <t>Ҳозирги ҳолат “Реноватсия ҳудуд” 0 қават берилган
Таклиф: 5 қаватгача ўзгартириш киритиш.</t>
  </si>
  <si>
    <t xml:space="preserve">Қум-Ариқ МФЙ, Адолат кўчаси </t>
  </si>
  <si>
    <t>Реноватсия, Ривожланиш ҳудуди 0 қават.</t>
  </si>
  <si>
    <t>Янги Бунёдобод  МФЙ</t>
  </si>
  <si>
    <t>Реноватсия, Савдо ва  тижорат қават-5</t>
  </si>
  <si>
    <t>Ҳозирги ҳолат “Реновация ҳудуд” 5 қават берилган 
Таклиф тугалланмаган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“Реновация ҳудуд”га ўзгартириш киритиш.</t>
  </si>
  <si>
    <t>Оʻзгариш МФЙ</t>
  </si>
  <si>
    <t>Консерватсия, Маиший хизмат кўрсатиш</t>
  </si>
  <si>
    <t>Давлат-хусусий шериклик шартлари асосида замонавий маҳалла марказлари бинолар.                                                   Таклиф: Қаватини кўпайтириб “Реновация ҳудуд”га ўзгартириш киритиш.</t>
  </si>
  <si>
    <t>Саховат МФЙ</t>
  </si>
  <si>
    <t>Консерватсия, Яшил ҳудуд</t>
  </si>
  <si>
    <t>Қут-барака МФЙ</t>
  </si>
  <si>
    <t>Ренаватсия 16-қават</t>
  </si>
  <si>
    <t>Давлат-хусусий шериклик шартлари асосида замонавий маҳалла марказлари бинолар.                                                   Таклиф: Қаватини кўпайтириб “Ренаватсия ҳудуд”га ўзгартириш киритиш.</t>
  </si>
  <si>
    <t>Қўшқўрғон МФЙ ҳудудидаги бўш ер майдони</t>
  </si>
  <si>
    <t>Консерватсиядан йечиш</t>
  </si>
  <si>
    <t>Хонбодтепа МФЙ, Хонтепа МФЙ</t>
  </si>
  <si>
    <t>Реноватсия, Ривожланиш ҳудуди, 5 қават</t>
  </si>
  <si>
    <t>16 қаватли турар жой</t>
  </si>
  <si>
    <t>Хонтепа МФЙ, Хонтепа МФЙ</t>
  </si>
  <si>
    <t>https://maps.app.goo.gl/ZjutXwHAWV1yZoYeJ7</t>
  </si>
  <si>
    <t>Бенёдобод МФЙ</t>
  </si>
  <si>
    <t>Ҳозирги ҳолат “Реноватсия ҳудуд” 7 қават берилган
Таклиф: 16 қаватгача ўзгартириш киритиш.</t>
  </si>
  <si>
    <t xml:space="preserve">Жунариқ МФЙ Чоштепа кўчаси 
(Авто йўл нур) </t>
  </si>
  <si>
    <t>Реноватсия, Ривожланиш ҳудуди 7 қават.</t>
  </si>
  <si>
    <t xml:space="preserve">Жунариқ МФЙ Чоштепа кўчаси </t>
  </si>
  <si>
    <t>Жунариқ МФЙ Чоштепа кўчаси 
(Махалла биноси)</t>
  </si>
  <si>
    <t>Жунариқ МФЙ Чоштепа кўчаси 
(Маданият маркази)</t>
  </si>
  <si>
    <t>Ренаватсия 3-қават</t>
  </si>
  <si>
    <t>Ҳозирги ҳолат “Реноватсия ҳудуд” 0 қават берилган
Таклиф: 4 қаватгача ўзгартириш киритиш.</t>
  </si>
  <si>
    <t>Қумариқ МФЙ 
"Ўрта осиё транс" МЧЖ</t>
  </si>
  <si>
    <t>Ҳозирги ҳолат “Реноватсия ҳудуд” 5 қават берилган
Таклиф: 16 қаватгача ўзгартириш киритиш.</t>
  </si>
  <si>
    <t>Нурхаёт МФЙ, Туман СЭС</t>
  </si>
  <si>
    <t>Консерватсия ҳудуди</t>
  </si>
  <si>
    <t>Реновация 9-қават</t>
  </si>
  <si>
    <t>Консерватсиядан ечиш</t>
  </si>
  <si>
    <t>Мамурий</t>
  </si>
  <si>
    <t>-</t>
  </si>
  <si>
    <t xml:space="preserve">Қўшқўрғон МФЙ Тошиссиқ қуват </t>
  </si>
  <si>
    <t>Реноватсия, Ривожланиш ҳудуди 2 қават.</t>
  </si>
  <si>
    <t>Ренаватсия 8-қават</t>
  </si>
  <si>
    <t>Кўхнақумариқ, Султонобод, Зиёлилар, Эскижалойир МФЙлари</t>
  </si>
  <si>
    <t>Аралаш худуд</t>
  </si>
  <si>
    <t>Ренаватсия 22;30-қават</t>
  </si>
  <si>
    <t>Турар жой кўплексини ташкил этиш</t>
  </si>
  <si>
    <t>Янгихаёт</t>
  </si>
  <si>
    <t xml:space="preserve">Чоштепа МФЙ </t>
  </si>
  <si>
    <t>Реновация, 7 қават</t>
  </si>
  <si>
    <t>Реновация, 16 қават</t>
  </si>
  <si>
    <t>Кўп қаватли турар жой комплекси хамда савдо маиший</t>
  </si>
  <si>
    <t xml:space="preserve">Чоштепа МФЙ 
</t>
  </si>
  <si>
    <t xml:space="preserve"> Кўп қаватли турар жой комплекси</t>
  </si>
  <si>
    <t>Янги Дархон МФЙ</t>
  </si>
  <si>
    <t>Реновация, 9 қават</t>
  </si>
  <si>
    <t>Савдо ва маиший ҳизмат кўрсатиш ва бизнес марказлари ҳамда кўп хонадонли турар жой комплекси</t>
  </si>
  <si>
    <t>Гулшанобод МФЙ</t>
  </si>
  <si>
    <t xml:space="preserve">Реновация, 9 қават </t>
  </si>
  <si>
    <t>Реновация, 20 қават</t>
  </si>
  <si>
    <t xml:space="preserve">Савдо ва маиший ҳизмат кўрсатиш ва бизнес марказлари ҳамда  кўп хонадонли турар жой комплекси </t>
  </si>
  <si>
    <t>Реконструкция, 5 қават</t>
  </si>
  <si>
    <t>Реконструкция, 15 қават</t>
  </si>
  <si>
    <t>Кўп қаватли турар жой комплекси ҳамда ижтимоий объектлар</t>
  </si>
  <si>
    <t>Хушнуд МФЙ</t>
  </si>
  <si>
    <t>Реконструкция 2 қават</t>
  </si>
  <si>
    <t>Реконструкция 16 қават</t>
  </si>
  <si>
    <t>Савдо ва маиший ҳизмат кўрсатиш ҳамда бизнес марказлари</t>
  </si>
  <si>
    <t>КИРИТИЛМАГАН</t>
  </si>
  <si>
    <t>Реконструкция 5 қават</t>
  </si>
  <si>
    <t>Реконструкция                      9 қават</t>
  </si>
  <si>
    <t xml:space="preserve">Савдо ва маиший ҳизмат кўрсатиш ва бизнес марказлари,                              </t>
  </si>
  <si>
    <t xml:space="preserve">Реновация, 7 қават </t>
  </si>
  <si>
    <t xml:space="preserve">Реновация, 16 қават </t>
  </si>
  <si>
    <t>Савдо ва маиший ҳизмат кўрсатиш ва бизнес марказлари ҳамда кўп хонадонли турар жой комплекси, 16 қават</t>
  </si>
  <si>
    <t>Ёрқин ҳаёт МФЙ</t>
  </si>
  <si>
    <t>Реконструкция                    9 қават</t>
  </si>
  <si>
    <t xml:space="preserve">Кўп қаватли турар жой комплекси, </t>
  </si>
  <si>
    <t>Ал-Фарғоний МФЙ</t>
  </si>
  <si>
    <t>Чароғон МФЙ</t>
  </si>
  <si>
    <t>Кўп қаватли турар жой комплекси</t>
  </si>
  <si>
    <t>Тошкент МФЙ</t>
  </si>
  <si>
    <t xml:space="preserve">Олий таълим муассасалари ташкил этиш, </t>
  </si>
  <si>
    <t>Файзли МФЙ                                          Чортоқ МФЙ</t>
  </si>
  <si>
    <t>Реконструкция 5-7-9 қават</t>
  </si>
  <si>
    <t xml:space="preserve">Савдо ва маиший ҳизмат кўрсатиш ва бизнес марказлари, ижтимоий объектлар ҳамда кўп хонадонли турар жой комплекси </t>
  </si>
  <si>
    <t>Янги Гулзор МФЙ</t>
  </si>
  <si>
    <t xml:space="preserve">Реновация, 5 қават </t>
  </si>
  <si>
    <t>КИРИТИЛГАН</t>
  </si>
  <si>
    <t>Янгихаёт МФЙ</t>
  </si>
  <si>
    <t>Консервация</t>
  </si>
  <si>
    <t xml:space="preserve">Реновация, 3 қават </t>
  </si>
  <si>
    <t>Савдо ва маиший хизмат кўрсатиш (BOX STREET),                                                                   3 қават</t>
  </si>
  <si>
    <t>Машъал МФЙ</t>
  </si>
  <si>
    <t xml:space="preserve">Консервация </t>
  </si>
  <si>
    <t xml:space="preserve">Аукцион савдосида сотилган ер, хусусий мактаб </t>
  </si>
  <si>
    <t>Чорбоғ МФЙ</t>
  </si>
  <si>
    <t>Маъмурий бинолар</t>
  </si>
  <si>
    <t xml:space="preserve">Хусусий мактаб </t>
  </si>
  <si>
    <t>Файзли МФЙ</t>
  </si>
  <si>
    <t xml:space="preserve">Реновация, 2 қават </t>
  </si>
  <si>
    <t>Ишлаб чиқариш учун мўлжалланган ер майдони</t>
  </si>
  <si>
    <t>Саноат</t>
  </si>
  <si>
    <t xml:space="preserve">Файзли, Чортоқ, Бинокор МФЙлар оралиғи
(Чирчиқ дарё бўйи) </t>
  </si>
  <si>
    <t>Дарё бўйи дирекцияси</t>
  </si>
  <si>
    <t>Хўжа учқун МФЙ</t>
  </si>
  <si>
    <t>Янги Авлод саноат ҳудуди, ҳамда якка тартибдаги турар-жойлар</t>
  </si>
  <si>
    <t>Чоштепа МФЙ</t>
  </si>
  <si>
    <t>Реновация, 5 қават</t>
  </si>
  <si>
    <t>Реновация 12 қават</t>
  </si>
  <si>
    <t xml:space="preserve">Кўп қаватли турар жой комплекси </t>
  </si>
  <si>
    <t>Чортоқ МФЙ</t>
  </si>
  <si>
    <t>Реновация 16 қават</t>
  </si>
  <si>
    <t>Савдо ва маиший ҳизмат кўрсатиш ва бизнес марказлари</t>
  </si>
  <si>
    <t>Хўжа учқун; Жалойир; Янги Гулзор  МФЙ</t>
  </si>
  <si>
    <t xml:space="preserve">Реновация, 3-5 қават </t>
  </si>
  <si>
    <t>Реновация 5 қават</t>
  </si>
  <si>
    <t xml:space="preserve">Янги Авлод саноат ҳудуди                                                                        </t>
  </si>
  <si>
    <t>Миробод</t>
  </si>
  <si>
    <t xml:space="preserve">Парвона МФЙ, Фарғона йўли 28-берк кўчаси, 8-уй олдида            </t>
  </si>
  <si>
    <t>Консервация (қаватлар сони 0)</t>
  </si>
  <si>
    <t>Реновация
(2 қаватли )</t>
  </si>
  <si>
    <t>Cавдо ва маиший хизмат кўрсатиш биноси хамда офис</t>
  </si>
  <si>
    <t xml:space="preserve">ТАКЛИФ КИРИТИЛГАН </t>
  </si>
  <si>
    <t xml:space="preserve">Чинор МФЙ, Қўйлиқ 1-дахаси, 24-уй олдида                               </t>
  </si>
  <si>
    <t xml:space="preserve">Реновация                        (16 қаватли ) </t>
  </si>
  <si>
    <t>Кўп хонадонли турар жой          мажмуаси</t>
  </si>
  <si>
    <t xml:space="preserve">Наврўз МФЙ, Саракул 4-берк кўчаси, 3-уй олди              </t>
  </si>
  <si>
    <t xml:space="preserve">Реновация                    
(2 қаватли )                                                     </t>
  </si>
  <si>
    <t>https://maps.app.goo.gl/Z2q24FAKz2W1Hf9j6</t>
  </si>
  <si>
    <t xml:space="preserve">Наврўз МФЙ, Саракул 3-берк кўчаси, 27-уй олди                            </t>
  </si>
  <si>
    <t xml:space="preserve">Реновация 
(2 қаватли )                                                     </t>
  </si>
  <si>
    <t xml:space="preserve">Темирйўлчилар МФЙ, Темирйўлчилар 1-тор кўчаси 9-9а-уй олди </t>
  </si>
  <si>
    <t xml:space="preserve">Реновация
 (2 қаватли )                                                     </t>
  </si>
  <si>
    <t xml:space="preserve">Олтинкўл МФЙ, А.Фитрат кўчаси 2-уй олдида                          </t>
  </si>
  <si>
    <t xml:space="preserve">Реновация 
 (2 қаватли )                                                     </t>
  </si>
  <si>
    <t>Миробод тумани, Минг Ўрик МФЙ</t>
  </si>
  <si>
    <t>Реконструкция                    
(қаватлар сони 5)</t>
  </si>
  <si>
    <t>Реконструкция       
 (25 қават)</t>
  </si>
  <si>
    <t xml:space="preserve">Савдо мажмуаси хамда Кўп хонадонли турар жой </t>
  </si>
  <si>
    <t>https://maps.app.goo.gl/RXfCmVxvodXdn557A</t>
  </si>
  <si>
    <t>Реконструкция          
 (28 қават)</t>
  </si>
  <si>
    <t>https://maps.app.goo.gl/UzKmfcpUposAy6Mz9</t>
  </si>
  <si>
    <t>Реконструкция         
(30 қават)</t>
  </si>
  <si>
    <t xml:space="preserve">Савдо мажмуаси, мехмонхона хамда Кўп хонадонли турар жой </t>
  </si>
  <si>
    <t>https://maps.app.goo.gl/ARbhcKKx7L9qcQRk6</t>
  </si>
  <si>
    <t>Миробод тумани, Лолозор МФЙ</t>
  </si>
  <si>
    <t>Реконструкция        
 (12 қават)</t>
  </si>
  <si>
    <t>Савдо мажмуаси хамда Кўп хонадонли турар жой</t>
  </si>
  <si>
    <t>https://maps.app.goo.gl/p5o9Er1mUnoGVztK8</t>
  </si>
  <si>
    <t>Реконструкциям          
(28 қават)</t>
  </si>
  <si>
    <t>https://maps.app.goo.gl/UtRiDj5UnKA4qhm98</t>
  </si>
  <si>
    <t>Миробод тумани, Темирйўлчилар МФЙ</t>
  </si>
  <si>
    <t>Реконструкция          
(30 қават)</t>
  </si>
  <si>
    <t xml:space="preserve">Кўп хонадонли турар жой </t>
  </si>
  <si>
    <t>https://maps.app.goo.gl/bcs4wq2Ej8gYkaCVA</t>
  </si>
  <si>
    <t>Миробод тумани, Ойбек МФЙ</t>
  </si>
  <si>
    <t>Реконструкция                                       (қаватлар сони 5)</t>
  </si>
  <si>
    <t>Реконструкция          
(25 қават)</t>
  </si>
  <si>
    <t xml:space="preserve"> Кўп хонадонли турар жой </t>
  </si>
  <si>
    <t>https://maps.app.goo.gl/dGh455kHtQdhDT8U6</t>
  </si>
  <si>
    <t>Миробод тумани, Истиқлолобод МФЙ</t>
  </si>
  <si>
    <t>Реконструкция        
(12 қават)</t>
  </si>
  <si>
    <t>https://maps.app.goo.gl/iMquLAZPdDX1jouP9</t>
  </si>
  <si>
    <t>Миробод тумани, Қорасув МФЙ</t>
  </si>
  <si>
    <t xml:space="preserve">Реноватция                               (қаватлар сони 5) </t>
  </si>
  <si>
    <t>Реконструкция          
(9 қават)</t>
  </si>
  <si>
    <t>Кўп хонадонли турар жой</t>
  </si>
  <si>
    <t>https://maps.app.goo.gl/BLSyjzBbUQLyRyym8</t>
  </si>
  <si>
    <t>Миробод тумани, Файзиобод МФЙ</t>
  </si>
  <si>
    <t>Реноватция                           (қаватлар сони 5)</t>
  </si>
  <si>
    <t>Реконструкция         
(12 қават)</t>
  </si>
  <si>
    <t>https://maps.app.goo.gl/fAotHxAGaWPqJCdz6</t>
  </si>
  <si>
    <t>Миробод тумани, Олтинкўл МФЙ</t>
  </si>
  <si>
    <t>Реконструкция                                      (қаватлар сони 5)</t>
  </si>
  <si>
    <t>https://maps.app.goo.gl/pDoCKq3WAiENr88h8</t>
  </si>
  <si>
    <t>Миробод тумани, Наврўз МФЙ</t>
  </si>
  <si>
    <t>Реконструкция                                   (қаватлар сони 5)</t>
  </si>
  <si>
    <t>Реконструкция          
(10 қават)</t>
  </si>
  <si>
    <t>https://maps.app.goo.gl/SG353t1EvH9SvjBZ9</t>
  </si>
  <si>
    <t>Миробод тумани, Тонг юлдузи МФЙ</t>
  </si>
  <si>
    <t>Реконструкция                            (қаватлар сони 3)</t>
  </si>
  <si>
    <t>Реконструкция          
(12 қават)</t>
  </si>
  <si>
    <t>https://maps.app.goo.gl/P1gaHPeDkmyuToJB8</t>
  </si>
  <si>
    <t>Консервация                           (қаватлар сони 0)</t>
  </si>
  <si>
    <t>Реновация                   
(5 қават)</t>
  </si>
  <si>
    <t>Замонавий махалла биноси</t>
  </si>
  <si>
    <t>https://maps.app.goo.gl/5UDHJDH5zUZ1CxkN8</t>
  </si>
  <si>
    <t>Миробод тумани, Билимдон МФЙ</t>
  </si>
  <si>
    <t>Реновация                          
 (5 қават)</t>
  </si>
  <si>
    <t xml:space="preserve">Замонавий махалла биноси </t>
  </si>
  <si>
    <t>https://maps.app.goo.gl/spPUgHnEKxU8wpLE6</t>
  </si>
  <si>
    <t>Миробод тумани, Заминобод МФЙ</t>
  </si>
  <si>
    <t>Реновация                  
(5 қават)</t>
  </si>
  <si>
    <t>https://maps.app.goo.gl/fU3Ex2w72PFSrCaj9</t>
  </si>
  <si>
    <t>Миробод тумани, Байналминал МФЙ</t>
  </si>
  <si>
    <t>Консервация                                  (қаватлар сони 0)</t>
  </si>
  <si>
    <t>Реновация                            (5 қават)</t>
  </si>
  <si>
    <t>https://maps.app.goo.gl/fDPDdBZF1v2mhFD36</t>
  </si>
  <si>
    <t>Консервация                               (қаватлар сони 0)</t>
  </si>
  <si>
    <t>Реновация                      
(6 қават)</t>
  </si>
  <si>
    <t>https://maps.app.goo.gl/cURChA6nYwtYRopW7</t>
  </si>
  <si>
    <t>Реновация                 
 (6 қават)</t>
  </si>
  <si>
    <t>https://maps.app.goo.gl/W3M1ED2PAAAwSxUD8</t>
  </si>
  <si>
    <t>Миробод тумани, Зиёнур МФЙ</t>
  </si>
  <si>
    <t>Реновация                  
(4 қават)</t>
  </si>
  <si>
    <t>https://maps.app.goo.gl/jPC8nwoE79HJ8e2H6</t>
  </si>
  <si>
    <t>Реновация                  
(2 қават)</t>
  </si>
  <si>
    <t>https://maps.app.goo.gl/gvy94TS7dehnm3kS8</t>
  </si>
  <si>
    <t>Миробод тумани, Қўйлиқ ота МФЙ</t>
  </si>
  <si>
    <t>Реновация               
(6 қават)</t>
  </si>
  <si>
    <t>https://maps.app.goo.gl/6B4nSaKC7AcuPRkb7</t>
  </si>
  <si>
    <t>Миробод тумани, Афросиёб МФЙ</t>
  </si>
  <si>
    <t>Реконструкция (қаватлар сони 5)</t>
  </si>
  <si>
    <t>Реновация                   
(12 қават)</t>
  </si>
  <si>
    <t>https://maps.app.goo.gl/HLokpQugw1U19BKp9</t>
  </si>
  <si>
    <t>Реновация              
(24 қават)</t>
  </si>
  <si>
    <t>https://maps.app.goo.gl/e6Xj1sw6ah97gjyq5</t>
  </si>
  <si>
    <t>Миробод тумани, Салар МФЙ</t>
  </si>
  <si>
    <t>Реконструкция                                     (қаватлар сони 9)</t>
  </si>
  <si>
    <t>Реновация                         18 қават</t>
  </si>
  <si>
    <t>https://maps.app.goo.gl/MpTReuCLDZoVAsFd6</t>
  </si>
  <si>
    <t>Реновация                    
12 қават</t>
  </si>
  <si>
    <t>https://maps.app.goo.gl/vj9D8QuPoSZyMSur6</t>
  </si>
  <si>
    <t>Миробод тумани, Янгизамон МФЙ</t>
  </si>
  <si>
    <t>Реконструкция                                        (қаватлар сони 5)</t>
  </si>
  <si>
    <t>Реновация                   
 12 қават</t>
  </si>
  <si>
    <t>https://maps.app.goo.gl/v5dk7q1VV843kcJ68</t>
  </si>
  <si>
    <t>Миробод тумани, А.Фитрат МФЙ</t>
  </si>
  <si>
    <t>Реконструкция                                         (қаватлар сони 2)</t>
  </si>
  <si>
    <t>Реновация                  
16 қават</t>
  </si>
  <si>
    <t>https://maps.app.goo.gl/kqNFgvXZJ3rYHuKA8</t>
  </si>
  <si>
    <t>Миробод тумани, Юксалиш МФЙ</t>
  </si>
  <si>
    <t>Реконструкция                                             (қаватлар сони 5)</t>
  </si>
  <si>
    <t>Реновация              
   9 қават</t>
  </si>
  <si>
    <t>https://maps.app.goo.gl/f4pYVP8tdC6LMrWFA</t>
  </si>
  <si>
    <t>Миробод тумани, 
Байналминал МФЙ</t>
  </si>
  <si>
    <t>Консервация,                                                   ( қаватлар сони 0 )</t>
  </si>
  <si>
    <t>Реновация                  
 16 қават</t>
  </si>
  <si>
    <t>https://maps.app.goo.gl/ibMgoVVhH1QhQD7s8</t>
  </si>
  <si>
    <t>Миробод тумани, Ш.Рашидов МФЙ</t>
  </si>
  <si>
    <t>Консервация,                                                                ( қаватлар сони 0 )</t>
  </si>
  <si>
    <t>Реновация                  
 25 қават</t>
  </si>
  <si>
    <t>https://maps.app.goo.gl/mMs6xtfCKEqgrzUU6</t>
  </si>
  <si>
    <t>Миробод тумани, Байналминал МФЙ, Мироншох кўчаси</t>
  </si>
  <si>
    <t>Реконструкция 
(қаватлар сони 5)</t>
  </si>
  <si>
    <t>Реновация                 
16 қават</t>
  </si>
  <si>
    <t>https://maps.app.goo.gl/SQTwy32BDL7u6Qqt6</t>
  </si>
  <si>
    <t>Миробод тумани, Ойбек МФЙ, С.Барака кўчаси</t>
  </si>
  <si>
    <t>Реноватция
(қаватлар сони 5)</t>
  </si>
  <si>
    <t>Реновация                    
 30 қават</t>
  </si>
  <si>
    <t>https://www.google.com/maps/@41.2970106,69.2830822,319m/data=!3m1!1e3?entry=ttu&amp;g_ep=EgoyMDI1MDQwMi4xIKXMDSoASAFQAw%3D%3D</t>
  </si>
  <si>
    <t>Миробод тумани, Янги Миробод МФЙ, Нукус, Ойбек ва КХАЙ кўчалари оралиғи</t>
  </si>
  <si>
    <t>Реноватция, 
(қаватлар сони 20)</t>
  </si>
  <si>
    <t>Реновация                    
 40 қават</t>
  </si>
  <si>
    <t>https://www.google.com/maps/@41.2882074,69.2777336,593m/data=!3m1!1e3?entry=ttu&amp;g_ep=EgoyMDI1MDQwMi4xIKXMDSoASAFQAw%3D%3D</t>
  </si>
  <si>
    <t>Миробод тумани, Шароф Рашидов МФЙ, Ислом Каримов кўчаси</t>
  </si>
  <si>
    <t>Реноватция
(25 қават)</t>
  </si>
  <si>
    <t>Реноватция
(53 қават)</t>
  </si>
  <si>
    <t>Савдо, хизмат кщрсатиш, офис мажмуаси хамда Кўп хонадонли турар жой</t>
  </si>
  <si>
    <t>https://www.google.com/maps/@41.3070858,69.2766757,358m/data=!3m1!1e3?entry=ttu&amp;g_ep=EgoyMDI1MDUxMy4xIKXMDSoASAFQAw%3D%3D</t>
  </si>
  <si>
    <t>25 қават</t>
  </si>
  <si>
    <t>Реконструкция 
(қаватлар сони 9)</t>
  </si>
  <si>
    <t>14 қават</t>
  </si>
  <si>
    <t>Реноватция
(қаватлар сони 7)</t>
  </si>
  <si>
    <t>16 қават</t>
  </si>
  <si>
    <t>Миробод тумани, Иноқобод МФЙ</t>
  </si>
  <si>
    <t>Реноватция
(қаватлар сони 9)</t>
  </si>
  <si>
    <t>Реконструкция 
(қаватлар сони 3)</t>
  </si>
  <si>
    <t>12 қават</t>
  </si>
  <si>
    <t>Миробод тумани, Қўйлиқота МФЙ</t>
  </si>
  <si>
    <t>Яшнобод</t>
  </si>
  <si>
    <t>Яшнобод тумани,Куксарой-Қадрият МФЙ, Чиғил кўчаси</t>
  </si>
  <si>
    <t>Консервация (0 қават)</t>
  </si>
  <si>
    <t>Реконструкция (3 қават)</t>
  </si>
  <si>
    <t>Ошхоналар, Кафелар, Савдо уйлари (3 қават)</t>
  </si>
  <si>
    <t xml:space="preserve">киритилган </t>
  </si>
  <si>
    <t>Яшнобод тумани, Моҳирлар МФЙ,</t>
  </si>
  <si>
    <t>Реновация қисман қизил чизиқ (5 қават)</t>
  </si>
  <si>
    <t>Реновация (5 қават)</t>
  </si>
  <si>
    <t>Пастги қаватларида савдо ва маиший хизмат кўрсатиш бўлган кўп ҳонадонли турар жой бинолари (5 қават)</t>
  </si>
  <si>
    <t>Яшнобод тумани,Уччинор МФЙ, Янги Ҳайот 1-тор кўчаси, Янги мактаб олдида</t>
  </si>
  <si>
    <t>Реновация ,қисман қизил чизиқ (5 қават)</t>
  </si>
  <si>
    <t>Умумтаълим мактаби ва мактабгача таълим (2-3 қаватли бинолар)</t>
  </si>
  <si>
    <t>киритилмаган</t>
  </si>
  <si>
    <t>Яшнобод тумани,Тонг МФЙ, 2-тузел мавзеси,</t>
  </si>
  <si>
    <t>Консервация(0 қават)</t>
  </si>
  <si>
    <t>Реконструкция (5 қават)</t>
  </si>
  <si>
    <t>Ошхоналар, Кафелар, Савдо уйлари (5 қават)</t>
  </si>
  <si>
    <t>Яшнобод тумани, Бойқурғон МФЙ</t>
  </si>
  <si>
    <t>Реконструкция  (3 қават)</t>
  </si>
  <si>
    <t>Реновация (16 қават)</t>
  </si>
  <si>
    <t>Кўп хонадонли турар жой (16 қават)</t>
  </si>
  <si>
    <t xml:space="preserve">Яшнобод тумани, Фидойилар ва Чўлпон МФЙлари </t>
  </si>
  <si>
    <t>Реконструкция (5 қават) ва  Реновация  (7 қават)</t>
  </si>
  <si>
    <t>Яшнобод тумани,Маьрифат ва Журабек МФЙ,</t>
  </si>
  <si>
    <t>Реновация, Реконструкция Консервация қисман қизил чизик (7-3-0 қават)</t>
  </si>
  <si>
    <t>Реновация (9 қават)</t>
  </si>
  <si>
    <t>Кўп хонадонли турар жой (9 қават)</t>
  </si>
  <si>
    <t xml:space="preserve">Яшнобод тумани,Жарқурғон  МФЙ </t>
  </si>
  <si>
    <t>Реновация (12-14-16 қават)</t>
  </si>
  <si>
    <t>Кўп хонадонли турар жой (12, 14 ва 16 қават)</t>
  </si>
  <si>
    <t xml:space="preserve">Яшнобод тумани,Янги Давр МФЙ </t>
  </si>
  <si>
    <t xml:space="preserve">Яшнобод тумани,Мумтоз МФЙ </t>
  </si>
  <si>
    <t>Реновация (7 қават)</t>
  </si>
  <si>
    <t>Реновация (12 қават)</t>
  </si>
  <si>
    <t>Кўп хонадонли турар жой (12 қават)</t>
  </si>
  <si>
    <t>Яшнобод тумани,Кўксарой Қадрият МФЙ</t>
  </si>
  <si>
    <t>Реконструкция  (4 қават)</t>
  </si>
  <si>
    <t>Кўп хонадонли турар жой ( 9 қават)</t>
  </si>
  <si>
    <t>Яшнобод тумани,Алимкент МФЙ</t>
  </si>
  <si>
    <t>Реконструкция (4 қават)</t>
  </si>
  <si>
    <t>Яшнобод тумани, Парвоз МФЙ, Бешариқ, Авиасозлар ва Бирлашган 6-тор кўчалари туташмаси</t>
  </si>
  <si>
    <t>Реконструкция (16 қават)</t>
  </si>
  <si>
    <t xml:space="preserve"> савдо мажмуоси (16 қават)</t>
  </si>
  <si>
    <t>Яшнобод тумани, Гўзал  МФЙ, Оҳангарон шох кўчаси</t>
  </si>
  <si>
    <t>Реконструкция (7 қават)</t>
  </si>
  <si>
    <t>Яшнобод тумани, Илтифот МФЙ</t>
  </si>
  <si>
    <t>Яшнобод тумани,Қалқон МФЙ</t>
  </si>
  <si>
    <t>Яшнобод тумани, Чўлпон МФЙ,  Маҳтумқули кучаси, юл ёқасида</t>
  </si>
  <si>
    <t>Реконструкция (10 қават)</t>
  </si>
  <si>
    <t>Реконструкция (23 қават)</t>
  </si>
  <si>
    <t>Биринчи 4 каватида савдо ва кунгилочар комплекс, 5 каватида банк, юкори каватларида эса, офис ва квартиралар куриш (23 қават)</t>
  </si>
  <si>
    <t>0,65</t>
  </si>
  <si>
    <t>Яшнобод тумани, Дўстобод МФЙ, Қорасув кўчаси</t>
  </si>
  <si>
    <t>Реконструкция (12 қават)</t>
  </si>
  <si>
    <t>Ҳокимят биноси  (ҳудуд 12 қават)</t>
  </si>
  <si>
    <t>Яшнобод тумани, Дўстобод МФЙ, Маҳтумқули кучаси, юл йоқасида</t>
  </si>
  <si>
    <t>Реконструкция ,Реновацтия ва Консервация (9-5-7 қават)</t>
  </si>
  <si>
    <t xml:space="preserve">Яшнобод тумани, Моҳирлар МФЙ, Янги Узбекистон Шох кўчаси </t>
  </si>
  <si>
    <t>Уз архив (4 қават)</t>
  </si>
  <si>
    <t xml:space="preserve">Яшнобод тумани,Тузел МФЙ, Темирчи кўчаси </t>
  </si>
  <si>
    <t xml:space="preserve">Яшнобод тумани,Тонг МФЙ, </t>
  </si>
  <si>
    <t>5 қават Ахоли яшаш худуди</t>
  </si>
  <si>
    <t>Реконструкция (9 қават)</t>
  </si>
  <si>
    <t>Реконструкция (33 қават)</t>
  </si>
  <si>
    <t>Кўп хонадонли турар жой ва Савдо мажмуаси  (33 қават)</t>
  </si>
  <si>
    <t>Яшнобод тумани Маърифат МФЙ.</t>
  </si>
  <si>
    <t>Яшнобод тумани, Ширинобод МФЙ, Уш ва Бойсун 2-берк кўчалари</t>
  </si>
  <si>
    <t>“Мухтор Ашрафий ва Бешбола” МФЙлари</t>
  </si>
  <si>
    <t xml:space="preserve">Яшнобод тумани Кўксарой қадрият МФЙ, </t>
  </si>
  <si>
    <t>Реконструкция 16 қават)</t>
  </si>
  <si>
    <t xml:space="preserve">Яшнобод тумани Тузел МФЙ, </t>
  </si>
  <si>
    <t>Кўп хонадонли турар жой ва савдо-хизмат кўрсатиш объектлари (16 қават)</t>
  </si>
  <si>
    <t>Яшнобод тумани, Янгиқурғон МФЙ,</t>
  </si>
  <si>
    <t>Реновация (5-7 қават)</t>
  </si>
  <si>
    <t>Яшнобод тумани, Янги давр МФЙ,</t>
  </si>
  <si>
    <t>Реновация қисман консервация  (0-5 қават)</t>
  </si>
  <si>
    <t>Яшнобод тумани,Амир Темур МФЙ,</t>
  </si>
  <si>
    <t>Яшнобод тумани, Фазогир МФЙ,</t>
  </si>
  <si>
    <t>Яшнобод тумани, Алимкент МФЙ, Авиасозлар 1-даҳаси  26А-уй  ,</t>
  </si>
  <si>
    <t>5 қаватли махалла биноси</t>
  </si>
  <si>
    <t>Яшнобод тумани, Авиасозлар МФЙ, Авиасозлар 3-даҳаси  16А-уй  ,</t>
  </si>
  <si>
    <t>Яшнобод тумани, Жўрабек МФЙ</t>
  </si>
  <si>
    <t>Кўп қаватли турар жой мажмуаси
(16 қават)</t>
  </si>
  <si>
    <t>Яшнобод тумани, Бунёдкор МФЙ, Фарғона йўли кўчаси бўйи</t>
  </si>
  <si>
    <t>Кўп квартирали турар жой ва савдо-хизмат кўрсатиш объектлари
(12 қават)</t>
  </si>
  <si>
    <t>Яшнобод тумани, Мумтоз МФЙ, Фарғона йўли кўчаси бўйи</t>
  </si>
  <si>
    <t>Яшнобод тумани, Қўйлиқобод МФЙ, Фарғона йўли кўчаси бўйи</t>
  </si>
  <si>
    <t>Яшнобод тумани, Катта Қўйлиқ МФЙ, Фарғона йўли кўчаси бўйи</t>
  </si>
  <si>
    <t>Яшнобод тумани, Янгиқшрғон МФЙ, ТХАЙ бўйи</t>
  </si>
  <si>
    <t>Реновация (2 қават)</t>
  </si>
  <si>
    <t>Кўп квартирали турар жой ва савдо-хизмат кўрсатиш объектлари
(16 қават)</t>
  </si>
  <si>
    <t xml:space="preserve">Яшнобод тумани, Моҳирлар МФЙ, </t>
  </si>
  <si>
    <t>Консервация  (0 қават)</t>
  </si>
  <si>
    <t>Реконструкция (6 қават)</t>
  </si>
  <si>
    <t>Кўп квартирали турар жой ҳамда савдо маиший хизмат объектлари (6 қават)</t>
  </si>
  <si>
    <t>Яшнобод тумани, Қуйлиқобод МФЙ</t>
  </si>
  <si>
    <t>Чилонзор</t>
  </si>
  <si>
    <t xml:space="preserve">Бешёғоч МФЙ 
Фурқат кўчаси </t>
  </si>
  <si>
    <t>Реконструкция
9 қават</t>
  </si>
  <si>
    <t>Реконструкция 
(30 қават)</t>
  </si>
  <si>
    <t>Кўп қаватли турар жойлар бизнес маркази ташкил этиш, 30 қават</t>
  </si>
  <si>
    <t xml:space="preserve">Киритилган            </t>
  </si>
  <si>
    <t>Реконструкция 
(16 қават)</t>
  </si>
  <si>
    <t>Кўп қаватли турар жойлар бизнес маркази ташкил этиш,</t>
  </si>
  <si>
    <t>Бешёғоч МФЙ
 Сеул кўчаси</t>
  </si>
  <si>
    <t>Реновация                                            12 қават</t>
  </si>
  <si>
    <t>Реновация (35қават)</t>
  </si>
  <si>
    <t>“Ritz carlton” бренди остида 5 юлдузли меҳмонхона фаолиятини ташкил этиш, 30 қават</t>
  </si>
  <si>
    <t>Мехмонхона</t>
  </si>
  <si>
    <t>1-Чарх Комолон МФЙ
1-тўпик Чилонзор кўчаси</t>
  </si>
  <si>
    <t>Реновация 9 қават</t>
  </si>
  <si>
    <t>Реновация (100-75 қават)</t>
  </si>
  <si>
    <t>Истиқболли реновация лойиҳаси, 
75 қават</t>
  </si>
  <si>
    <t>1-Чарх Камолон
Новза кўчаси</t>
  </si>
  <si>
    <t>Реконструкция 
5 қават</t>
  </si>
  <si>
    <t>Истиқболли реновация лойиҳаси, 
16 қават</t>
  </si>
  <si>
    <t>Чилонзор МФЙ, Новза кўчаси</t>
  </si>
  <si>
    <t>Реновация 
9 қават</t>
  </si>
  <si>
    <t>Замонавий кўп квартирали турар-жой мажмуасини барпо этиш</t>
  </si>
  <si>
    <t>2-Чарх Камолон
Бунёдкор шох кўчаси</t>
  </si>
  <si>
    <t>Реконструкция, 
8 қават</t>
  </si>
  <si>
    <t>Реновация                       (12 қават)</t>
  </si>
  <si>
    <t xml:space="preserve">Истиқболли реновация лойиҳаси, </t>
  </si>
  <si>
    <t>Бешчинор МФЙ</t>
  </si>
  <si>
    <t>Реконструкция, бир қисми 0 қават, қолгани 2 қават</t>
  </si>
  <si>
    <t>Реконструкция 
(5 қават)</t>
  </si>
  <si>
    <t>ДХШ асосида маҳалла идораси ҳамда хизмат кўрсатиш марказини ташкил этиш, 5 қават</t>
  </si>
  <si>
    <t xml:space="preserve">Бешчинор МФЙ, Қатортол кучаси 46-уй </t>
  </si>
  <si>
    <t>Реконструкция
(9 қават)</t>
  </si>
  <si>
    <t>Олий талим
муассаси</t>
  </si>
  <si>
    <t>Кўркам МФЙ, Муқимий кўчаси, 43-уй</t>
  </si>
  <si>
    <t>Реконструкция
(10 қават)</t>
  </si>
  <si>
    <t>1-Қатортол МФЙ
1-Қатортол кўчаси</t>
  </si>
  <si>
    <t>Реконструкция
(12қават)</t>
  </si>
  <si>
    <t xml:space="preserve"> ДХШ асосида 7-сонли туғруқ комплекси ўрнида кўптармоқли клиника ташкил этиш</t>
  </si>
  <si>
    <t>Тиббиёт</t>
  </si>
  <si>
    <t xml:space="preserve">Қатортол-1 МФЙ </t>
  </si>
  <si>
    <t>Реконструкция 
9, 10 ва 7 қават</t>
  </si>
  <si>
    <t xml:space="preserve">Истиқболли реконструкция лойиҳаси </t>
  </si>
  <si>
    <t>Нафосат МФЙ</t>
  </si>
  <si>
    <t>Реконструкция
0 қават</t>
  </si>
  <si>
    <t>Диёр МФЙ, Лутфий кўчаси</t>
  </si>
  <si>
    <t>Консервация
5 қават</t>
  </si>
  <si>
    <t xml:space="preserve">Кўп квартирали турар жой ва савдо-хизмат кўрсатиш объектлари
</t>
  </si>
  <si>
    <t>https://www.google.com/maps/@41.2947577,69.2013138,284m/data=!3m1!1e3?entry=ttu&amp;g_ep=EgoyMDI1MDQwMi4xIKXMDSoASAFQAw%3D%3D</t>
  </si>
  <si>
    <t xml:space="preserve">Лутфий МФЙ, 
Лутфий кўчаси </t>
  </si>
  <si>
    <t>Реконструкция, 
7 ва 9 қават</t>
  </si>
  <si>
    <t>Реновация                         (30 қават)</t>
  </si>
  <si>
    <t>Истиқболли реновация лойиҳаси, 
30 қават</t>
  </si>
  <si>
    <t xml:space="preserve">Лутфий МФЙ </t>
  </si>
  <si>
    <t>Реконструкция 
7 қават</t>
  </si>
  <si>
    <t>Реконструкция
(30-16 қават)</t>
  </si>
  <si>
    <t xml:space="preserve">Истиқболли реконструкция лойиҳаси, </t>
  </si>
  <si>
    <t>Чўпонота МФЙ, Лутфий кўчаси</t>
  </si>
  <si>
    <t>Реновация
5 қават</t>
  </si>
  <si>
    <t>Реновация
16 қават</t>
  </si>
  <si>
    <t>Кўп қаватли мехмонхона ва бизнес маркази қуриш</t>
  </si>
  <si>
    <t>Навбахор МФЙ</t>
  </si>
  <si>
    <t>Реконструкция 
(28 қават)</t>
  </si>
  <si>
    <t>Чилонзор туман ҳокимлиги биноси ўрнида маъмурий марказ қуриш</t>
  </si>
  <si>
    <t>Қозиробод МФЙ
Бунёдкор кўчаси</t>
  </si>
  <si>
    <t>Реновация (32 қават)</t>
  </si>
  <si>
    <t>Замонавий турар жойлар ва бизнес маркази ташкил этиш, 
32 қават</t>
  </si>
  <si>
    <t xml:space="preserve">Чилонзор тумани Бунёдкор кўчаси 1/1-уй </t>
  </si>
  <si>
    <t xml:space="preserve"> Реконструкция 
(30 қават)</t>
  </si>
  <si>
    <t>кўп қаватли аппартамент ҳамда ишбилармонлик маркази</t>
  </si>
  <si>
    <t>Катта Чилонзор-3</t>
  </si>
  <si>
    <t>Реконструкция
2 қават</t>
  </si>
  <si>
    <t>Реконструкция 
(12 қават)</t>
  </si>
  <si>
    <t>Истиқболли реновация лойиҳаси, 
12қават</t>
  </si>
  <si>
    <t>Катта Чилонзор-1 МФЙ</t>
  </si>
  <si>
    <t>Реновация
9 қават</t>
  </si>
  <si>
    <t>Реновация                        (16 қават)</t>
  </si>
  <si>
    <t>Кўп қаватли турар жой ва хихмат кўрсатиш объектлари</t>
  </si>
  <si>
    <t>https://www.google.com/maps/place/41%C2%B016'53.3%22N+69%C2%B013'52.9%22E/@41.2816832,69.2304044,438m/data=!3m1!1e3!4m4!3m3!8m2!3d41.281475!4d69.231371?entry=ttu&amp;g_ep=EgoyMDI1MDMxMC4wIKXMDSoASAFQAw%3D%3D</t>
  </si>
  <si>
    <t xml:space="preserve">2-Катта Чилонзор МФЙ     </t>
  </si>
  <si>
    <t>Реконструкция 
(28-12 қават)</t>
  </si>
  <si>
    <t xml:space="preserve">Кўп қаватли меҳмонхона ва бизнес маркази ташкил этиш, 
</t>
  </si>
  <si>
    <t>Катта Қозиробод МФЙ ва Қозиробод МФЙ
Арнасой кўчаси</t>
  </si>
  <si>
    <t>Реновация 7 қават</t>
  </si>
  <si>
    <t>Катта Қозиробод МФЙ
Чилонзор кўчаси</t>
  </si>
  <si>
    <t>Реконструкция
7 қават</t>
  </si>
  <si>
    <t xml:space="preserve">Наққошлик МФЙ, Наккошлик кўчаси </t>
  </si>
  <si>
    <t>Реконструкция
5 қават</t>
  </si>
  <si>
    <t xml:space="preserve">Катта Дўмбиробод МФЙ, Усмур 1 тор кўчаси </t>
  </si>
  <si>
    <t>Реновация                  (16 қават)</t>
  </si>
  <si>
    <t>Истиқболли реновация лойиҳаси, 
9 қават</t>
  </si>
  <si>
    <t>Дўмбиробод МФЙ</t>
  </si>
  <si>
    <t>Бир қисми консервация, бир қисми реконструкция 2 қават</t>
  </si>
  <si>
    <t>Реконструкция 
(10 қават)</t>
  </si>
  <si>
    <t>Истиқболли реновация лойиҳаси, 
10 қават</t>
  </si>
  <si>
    <t xml:space="preserve">Тирсакобод МФЙ, Харбий шахарча  </t>
  </si>
  <si>
    <t>Реновация
7 қават</t>
  </si>
  <si>
    <t>Реновация
(22-16 қават)</t>
  </si>
  <si>
    <t>Кўп қаватли турар жой ва савдо-хизмат кўрсатиш объектлари</t>
  </si>
  <si>
    <t>https://www.google.com/maps/place/41%C2%B015'23.6%22N+69%C2%B012'39.4%22E/@41.2564018,69.2094614,426m/data=!3m1!1e3!4m4!3m3!8m2!3d41.256545!4d69.210954?entry=ttu&amp;g_ep=EgoyMDI1MDMxMS4wIKXMDSoASAFQAw%3D%3D</t>
  </si>
  <si>
    <t>Мевазор, Яккабоғ МФЙлар</t>
  </si>
  <si>
    <t>Реновация                        (12 қават)</t>
  </si>
  <si>
    <t>Истиқболли реконструкция лойиҳаси</t>
  </si>
  <si>
    <t>Мевазор МФЙ</t>
  </si>
  <si>
    <t>Реконструкция 
0 қават</t>
  </si>
  <si>
    <t>ДХШ асосида маҳалла идораси ҳамда хизмат кўрсатиш марказини ташкил этиш</t>
  </si>
  <si>
    <t>Яккабоғ МФЙ</t>
  </si>
  <si>
    <t>Реновация                                     7 қават</t>
  </si>
  <si>
    <t>Қурилиши бошланган турар жой комлекси</t>
  </si>
  <si>
    <t>Кичик Хирмонтепа МФЙ
Заргарлик кўчаси</t>
  </si>
  <si>
    <t>Реконструкция, 
0 қават</t>
  </si>
  <si>
    <t>Гараж 
ва автотураргоҳлар негизида давлат-хусусий шериклик асосида мавжуд автотранспорт учун жойларни камида икки баравар ошириш шарти билан кўп қаватли автотураргоҳ ва нотурар жойлар ташкил этиш, 
5 қават</t>
  </si>
  <si>
    <t>Автотурарғох</t>
  </si>
  <si>
    <t>Шарқ МФЙ
Гулистон-7 кўчаси</t>
  </si>
  <si>
    <t>Бектўпи МФЙ</t>
  </si>
  <si>
    <t>Реновация 
7 ва 0 қават</t>
  </si>
  <si>
    <t xml:space="preserve">Истиқболли реновация лойиҳаси, 
</t>
  </si>
  <si>
    <t>Ал-Хоразмий МФЙ
Пойгох кўчаси</t>
  </si>
  <si>
    <t>Бешқўрғон МФЙ
Бунёдкор кўчаси</t>
  </si>
  <si>
    <t xml:space="preserve"> Реновация
(9 қават)</t>
  </si>
  <si>
    <t>Марказий Ипподром ҳудудини реконструкция қилиш ва замонавий савдо ва кўнгилочар мажмуасини барпо этиш, 9 қават</t>
  </si>
  <si>
    <t>Енгил автомобиллар учун кўп қаватли автотураргоҳ қуриш, 
4 қават</t>
  </si>
  <si>
    <t>Бешқўрғон маҳалласи</t>
  </si>
  <si>
    <t>Реконструкция 
(4 қават)</t>
  </si>
  <si>
    <t>Мактабгача таълим муассасасини қуриш, 4 қават</t>
  </si>
  <si>
    <t>Юнусобод</t>
  </si>
  <si>
    <t>Юнусобод тумани, Отчопар МФЙ Янги шаҳар кўчаси, Yunusobod Business City</t>
  </si>
  <si>
    <t>Реновация
(5 қават)</t>
  </si>
  <si>
    <t>Реновация 
(16 қават)</t>
  </si>
  <si>
    <t xml:space="preserve">Савдо маиший кўп хонадонли турар жой ва бизнес марказлар                </t>
  </si>
  <si>
    <t xml:space="preserve">https://yandex.uz/maps/10335/tashkent/hybrid/?ll=69.311990%2C41.359126&amp;z=17 </t>
  </si>
  <si>
    <t>Юнусобод тумани, Қадрдон МФЙ, Янги Шахар ва Янги Юнусобод кўчаси худуди</t>
  </si>
  <si>
    <t>Реконструкция, Аралаш фойдаланиш
(қаватлар сони 5)</t>
  </si>
  <si>
    <t>Реновация 
(12 қават)</t>
  </si>
  <si>
    <t xml:space="preserve">Савдо маиший кўп хонадонли турар жой ва бизнес марказлар                     </t>
  </si>
  <si>
    <t xml:space="preserve">https://yandex.uz/maps/10335/tashkent/hybrid/?ll=69.308771%2C41.364617&amp;z=16 </t>
  </si>
  <si>
    <t>Юнусобод тумани, Боғибўстон МФЙ, Боғишамол ва Янги Шахар кесишмасида</t>
  </si>
  <si>
    <t>Реновация, Аралаш фойдаланиш (қаватлар сони 5)</t>
  </si>
  <si>
    <t xml:space="preserve">https://yandex.uz/maps/10335/tashkent/hybrid/?ll=69.318945%2C41.349017&amp;z=17 </t>
  </si>
  <si>
    <t xml:space="preserve">Юнусобод тумани, Обод МФЙ, Наманган ва Юқори салар кўчалари ўртасидаги ҳудуд </t>
  </si>
  <si>
    <t>Реконструкци, Аралаш фойдаланиш (қаватлар сони 2)</t>
  </si>
  <si>
    <t xml:space="preserve">https://yandex.uz/maps/10335/tashkent/hybrid/?ll=69.333705%2C41.358166&amp;z=18 </t>
  </si>
  <si>
    <t xml:space="preserve">Юнусобод тумани, Обод МФЙ,  Наманган  кўчаласи 6 ва 9 уйлар орасидаги ҳудуд манзилида  "OGNEUPOR" МЧЖ худуди </t>
  </si>
  <si>
    <t>Консервация ҳудуди</t>
  </si>
  <si>
    <t xml:space="preserve">https://yandex.uz/maps/10335/tashkent/hybrid/?ll=69.326176%2C41.353369&amp;z=16 </t>
  </si>
  <si>
    <t xml:space="preserve">Реновация </t>
  </si>
  <si>
    <t>Юнусобод тумани, Посира МФЙ,  Боғишамол кўчаси,  Ташгрес микрорайонидаги 16,17,18,19-уйлар 2 қаватли авария уйлар ҳудуди</t>
  </si>
  <si>
    <t>Реконструкция, Ахоли яшаш жойи (қаватлар сони 5)</t>
  </si>
  <si>
    <t>Реновация 
(9 қават)</t>
  </si>
  <si>
    <t xml:space="preserve">https://yandex.uz/maps/10335/tashkent/hybrid/?ll=69.340750%2C41.355139&amp;z=16 </t>
  </si>
  <si>
    <t>Юнусобод тумани, Шарқ ҳақиқати, Катта Хасанбой, Хасанбой ва Исломобод МФЙлар ҳудуди ТХАЙ кўчаси бўйи ҳудуди</t>
  </si>
  <si>
    <t>Реконструкция, Ахоли яшаш жойи (қаватлар сони 2)</t>
  </si>
  <si>
    <t>Реконструкция 
(9 қават)</t>
  </si>
  <si>
    <t xml:space="preserve"> Мехмонхона, Савдо маиший кўп хонадонли турар жой ва бизнес марказлар </t>
  </si>
  <si>
    <t xml:space="preserve">https://yandex.uz/maps/10335/tashkent/hybrid/?ll=69.260504%2C41.391931&amp;z=15 </t>
  </si>
  <si>
    <t xml:space="preserve">Юнусобод тумани, Ҳамкоробод МФЙ, Хасанбой  ески мусорка худуди </t>
  </si>
  <si>
    <t>Реновация 
(5 қават)</t>
  </si>
  <si>
    <t xml:space="preserve">Ишлаб чиқариш цехлари, логистика, ҳамда подстанция </t>
  </si>
  <si>
    <t xml:space="preserve">https://yandex.uz/maps/10335/tashkent/hybrid/?ll=69.244594%2C41.384276&amp;z=17 </t>
  </si>
  <si>
    <t xml:space="preserve">Бир қисми ўзгартиришга киритилди қолган қисми консервацияда қолди </t>
  </si>
  <si>
    <t xml:space="preserve">Юнусобод тумани, Туркистон МФЙ, Иссиқлиқ 4 маркази ёнидаги манзил худуди </t>
  </si>
  <si>
    <t xml:space="preserve">Ҳудудда когенерация газопоршенли иссиқлик станцияси қурилиши учун ажратилган. Бундан ташқари ҳудудда нотурар объектлар ишлаб чиқариш цехлари бор.  </t>
  </si>
  <si>
    <t>Иссиқлик станцияси</t>
  </si>
  <si>
    <t xml:space="preserve">https://yandex.uz/maps/10335/tashkent/hybrid/?ll=69.257726%2C41.372737&amp;z=16 </t>
  </si>
  <si>
    <t xml:space="preserve">Бир қисми ўзгартиришга киритилди қолган қисми консервацияда қолди қабул қилинмади </t>
  </si>
  <si>
    <t xml:space="preserve">Юнусобод тумани, Шайх Шивлий МФЙ, А.Темур, Боғишамол, Шуҳрат ва Шивлий кўчалари орасидаги ҳудуд манзил худуди </t>
  </si>
  <si>
    <t>Реновация, Аралаш фойдаланиш                      (қаватлар сони 9-12)</t>
  </si>
  <si>
    <t>https://yandex.uz/maps/10335/tashkent/hybrid/?ll=69.288810%2C41.338134&amp;z=17</t>
  </si>
  <si>
    <t xml:space="preserve">Юнусобод тумани, Буюк турон МФЙ, Шарофобод, В. Малясова ва Ниёзбек йўли кўчасидаги  "Zhongwang ConStruction" ХК томонидан реновация амалга ошириши мўлжалланган манзил худуди </t>
  </si>
  <si>
    <t>Реконструкция, Аралаш фойдаланиш                      (қаватлар сони 9)</t>
  </si>
  <si>
    <t>Реновация 
(24 қават)</t>
  </si>
  <si>
    <t xml:space="preserve">https://yandex.uz/maps/10335/tashkent/hybrid/?ll=69.288068%2C41.324292&amp;z=18 </t>
  </si>
  <si>
    <t xml:space="preserve">Юнусобод тумани, Буюк турон МФЙ, Шарофобод, Ниёзбек йўли А.Темур ва А. Қодирий кўчалари орасидаги манзил худуди </t>
  </si>
  <si>
    <t>Реновация, Аралаш фойдаланиш                      (қаватлар сони 8)</t>
  </si>
  <si>
    <t xml:space="preserve">Савдо маиший кўп хонадонли турар жой ва бизнес марказлар </t>
  </si>
  <si>
    <t xml:space="preserve">https://yandex.uz/maps/10335/tashkent/hybrid/?ll=69.285766%2C41.322444&amp;z=18 </t>
  </si>
  <si>
    <t xml:space="preserve">Юнусобод тумани, Қашқар  МФЙ, А.Навоий  кўчаси 13 уй манзил худуди </t>
  </si>
  <si>
    <t>Реновация, Аралаш фойдаланиш                      
(қаватлар сони 7)</t>
  </si>
  <si>
    <t>https://yandex.uz/maps/10335/tashkent/hybrid/?ll=69.274990%2C41.318961&amp;z=19</t>
  </si>
  <si>
    <t xml:space="preserve">Юнусобод тумани, Шайх Шивлий МФЙ, КХАЙ, Ч.Айтматов, Шуҳрат ва Шивлий кўчалари орасидаги ҳудуд манзил худуди </t>
  </si>
  <si>
    <t>Концервация, (қаватлар сони 0)</t>
  </si>
  <si>
    <t>Реновация 
(16- қават)</t>
  </si>
  <si>
    <t xml:space="preserve">Нотурар жойлар  ва лойоиҳа амалга ошираётган Биофарм Плюс МЧЖ  </t>
  </si>
  <si>
    <t xml:space="preserve">https://yandex.uz/maps/10335/tashkent/hybrid/?ll=69.291560%2C41.334356&amp;z=18 </t>
  </si>
  <si>
    <t>Юнусобод тумани, Туркқўрғон МФЙ КХАЙ кўчаси бўйидаги ҳудуд</t>
  </si>
  <si>
    <t>Реновация, Аралаш фойдаланиш                     
 (қаватлар сони 2)</t>
  </si>
  <si>
    <t>Реновация 
(5  қават)</t>
  </si>
  <si>
    <t xml:space="preserve">https://yandex.uz/maps/10335/tashkent/hybrid/?ll=69.272007%2C41.341467&amp;z=17 </t>
  </si>
  <si>
    <t xml:space="preserve">Юнусобод тумани, Гайратий МФЙ, шаҳристон кўчаси ,                    манзилида жойлашган худуд </t>
  </si>
  <si>
    <t xml:space="preserve">https://yandex.uz/maps/10335/tashkent/hybrid/?ll=69.273858%2C41.354679&amp;z=18 </t>
  </si>
  <si>
    <t xml:space="preserve">Юнусобод тумани, Астробод МФЙ,  Моқўрғон ва Бинкат кўчалари кесишмасидаги АҚШ элчихонаси жойлашган худуд </t>
  </si>
  <si>
    <t xml:space="preserve">https://yandex.uz/maps/10335/tashkent/hybrid/?ll=69.274206%2C41.367218&amp;z=18 </t>
  </si>
  <si>
    <t xml:space="preserve">Юнусобод тумани, Бободуҳқон МФЙ,  ТХАЙ ва Деҳқонобод кўчалари оралиғида                   </t>
  </si>
  <si>
    <t xml:space="preserve">https://yandex.uz/maps/10335/tashkent/hybrid/?ll=69.319394%2C41.380478&amp;z=19 </t>
  </si>
  <si>
    <t xml:space="preserve">Юнусобод тумани, Бўзсув МФЙ,  Боғишамол кўчаси бўйичадги Монетни двор олдидаги ҳудуд                 </t>
  </si>
  <si>
    <t>Реновация, Аралаш фойдаланиш                      (қаватлар сони 2)</t>
  </si>
  <si>
    <t xml:space="preserve">https://yandex.uz/maps/10335/tashkent/hybrid/?ll=69.302071%2C41.343023&amp;z=18 </t>
  </si>
  <si>
    <t xml:space="preserve">Юнусобод тумани, Отчопар1, Юнусобод ва Акбаробод МФЙ, А. Темур кўчаси бўйидаги ҳудуд               </t>
  </si>
  <si>
    <t>Реновация, Аралаш фойдаланиш                      (қаватлар сони 2-5)</t>
  </si>
  <si>
    <t xml:space="preserve">https://yandex.uz/maps/10335/tashkent/hybrid/?ll=69.301122%2C41.357592&amp;z=16 </t>
  </si>
  <si>
    <t xml:space="preserve">Юнусобод тумани, Боғишамол ва Акбаробод  МФЙ, Юнуосбод деҳқон бозори ва Универсам савдо мажмуаси жойлашган ҳудуд                </t>
  </si>
  <si>
    <t>Концервация, (қаватлар сони 5-9)</t>
  </si>
  <si>
    <t xml:space="preserve">Савдо маиший кўп хонадонли турар жой Мехмонхона ва бизнес марказлар ва Замонавий бозор </t>
  </si>
  <si>
    <t xml:space="preserve">https://yandex.uz/maps/10335/tashkent/hybrid/?ll=69.291950%2C41.365608&amp;z=17 </t>
  </si>
  <si>
    <t xml:space="preserve">Юнусобод тумани,Буюк Турон МФЙ, Ниёзбек йўли ва Ч.Айтматов кўчалари кесишмасидаги ҳудуд манзили худудида                </t>
  </si>
  <si>
    <t>Реконструкция, Аралаш фойдаланиш                      (қаватлар сони 5)</t>
  </si>
  <si>
    <t xml:space="preserve">https://yandex.uz/maps/10335/tashkent/hybrid/?ll=69.293351%2C41.325023&amp;z=18 </t>
  </si>
  <si>
    <t>Юнусобод тумани, Ҳиёбонтепа МФЙ,  Боғишамол кўчаси бўйидаги Тату ески ётоқхонаси ҳудудида ГЧП амалга оширилаётган лойиҳа</t>
  </si>
  <si>
    <t>Реновация, Аралаш фойдаланиш                      (қаватлар сони 5)</t>
  </si>
  <si>
    <t xml:space="preserve">Савдо маиший кўп хонадонли турар жой Мехмонхона ва бизнес марказлар  </t>
  </si>
  <si>
    <t>https://yandex.uz/maps/10335/tashkent/hybrid/?ll=69.290842%2C41.340645&amp;z=18</t>
  </si>
  <si>
    <t>Юнусобод тумани, Минор МФЙ, КХАЙ ва Шароф Рашидов кўчалари кесишувида</t>
  </si>
  <si>
    <t>Реконструкция, Аралаш фойдаланиш                   
(қаватлар сони 5)</t>
  </si>
  <si>
    <t>Ўқув биноси</t>
  </si>
  <si>
    <t xml:space="preserve">https://yandex.uz/maps/10335/tashkent/hybrid/?ll=69.281045%2C41.333138&amp;z=18 </t>
  </si>
  <si>
    <t>Юнусобод тумани, Минор МФЙ, КХАЙ кўчасида</t>
  </si>
  <si>
    <t>Реконструкция, Аралаш фойдаланиш                   
(қаватлар сони 9)</t>
  </si>
  <si>
    <t xml:space="preserve">Савдо маиший кўп хонадонли турар жой Мехмонхона ва бизнес марказлар </t>
  </si>
  <si>
    <t xml:space="preserve">https://yandex.uz/maps/10335/tashkent/hybrid/?ll=69.279636%2C41.335977&amp;z=19 </t>
  </si>
  <si>
    <t>Реновация, Аралаш фойдаланиш                   
(қаватлар сони 7)</t>
  </si>
  <si>
    <t>Савдо маиший кўп хонадонли турар жой Мехмонхона ва бизнес марказлар</t>
  </si>
  <si>
    <t xml:space="preserve">https://yandex.uz/maps/10335/tashkent/hybrid/?ll=69.277835%2C41.334595&amp;z=18 </t>
  </si>
  <si>
    <t>Юнусобод тумани, Мирзо Улуғбек МФЙ, КХАЙ кўчаси</t>
  </si>
  <si>
    <t>Реконструкция, Аралаш фойдаланиш                   (қаватлар сони 5-8)</t>
  </si>
  <si>
    <t>https://yandex.uz/maps/10335/tashkent/?ll=69.304449%2C41.332467&amp;z=15.43</t>
  </si>
  <si>
    <t>Юнусобод тумани,
Ахилобод  МФЙ</t>
  </si>
  <si>
    <t>Реконструкция ҳужужи
(қаватлар сони 5)</t>
  </si>
  <si>
    <t>https://www.google.com/maps/@41.3688901,69.2990285,276m/data=!3m1!1e3?entry=ttu&amp;g_ep=EgoyMDI1MDMwOC4wIKXMDSoASAFQAw%3D%3D</t>
  </si>
  <si>
    <t>Юнусобод тумани,
Минор  МФЙ, Амир Темур шох кўчаси</t>
  </si>
  <si>
    <t xml:space="preserve">Реконструкция
 (қаватлар сони 5) </t>
  </si>
  <si>
    <t>Реконструкция 
(11-27 қават)</t>
  </si>
  <si>
    <t xml:space="preserve">Кўп квартирали турар жой ва савдо-хизмат
кўрсатиш объектлари
</t>
  </si>
  <si>
    <t>https://www.google.com/maps/@41.3317043,69.2825519,368m/data=!3m1!1e3?entry=ttu&amp;g_ep=EgoyMDI1MDQwMi4xIKXMDSoASAFQAw%3D%3D</t>
  </si>
  <si>
    <t>Юнусобод тумани,
Обод МФЙ, Дўрмон йўли ва Боғишамол кўчалари оралиғи</t>
  </si>
  <si>
    <t xml:space="preserve">Реконструкция
 (қаватлар сони 2) </t>
  </si>
  <si>
    <t>https://www.google.com/maps/@41.3496673,69.3237738,348m/data=!3m1!1e3?entry=ttu&amp;g_ep=EgoyMDI1MDUxMy4xIKXMDSoASAFQAw%3D%3D</t>
  </si>
  <si>
    <t>Шайхонтоҳур</t>
  </si>
  <si>
    <t xml:space="preserve">"Олим Хўжаев" МФЙ, </t>
  </si>
  <si>
    <t>Реконструкция
(18-26 қават)</t>
  </si>
  <si>
    <t>Кўп хонадонли турар жой, савдо-маиший ва ижтимоий хизмат кўрсатиш обектлари</t>
  </si>
  <si>
    <t>"Чорсу" МФЙ, А.Навоий ва Беруний кўчалар кесишувида</t>
  </si>
  <si>
    <t>Консервация (0 қават)
Реконструкция (20 қават)</t>
  </si>
  <si>
    <t>Реконструкция
(29 қават)</t>
  </si>
  <si>
    <t>Савдо-маиший хизмат кўрсатиш ва мехмонхона обектлари</t>
  </si>
  <si>
    <t>"Лабзак" МФЙ</t>
  </si>
  <si>
    <t>Реконструкция (5 қават)
Консервация (0 қават)</t>
  </si>
  <si>
    <t>Реновация
(25 қават)</t>
  </si>
  <si>
    <t>"Ўрда" МФЙ, Ботир Зокиров кўчаси</t>
  </si>
  <si>
    <t>Реконструкция
(56 қават)</t>
  </si>
  <si>
    <t>Бизнес марказ, офис ва савдо-маиший хизмат кўрсатиш обектлари</t>
  </si>
  <si>
    <t>"Ўқчи" МФЙ, Тошкент ситй ҳудуди</t>
  </si>
  <si>
    <t>Реконструкция
(58 қават)</t>
  </si>
  <si>
    <t>"Оқлон", "Олим Хожаев" МФЙ, Бўзсув канал бўйи</t>
  </si>
  <si>
    <t>Кўп хонадонли турар жой ва савдо-маиший хизмат кўрсатиш обектлари</t>
  </si>
  <si>
    <t>"Янги Белтепа" МФЙ, 316-сонли мактаб ҳудуди</t>
  </si>
  <si>
    <t>Консервация
(0 қават)</t>
  </si>
  <si>
    <t>Ҳусусий болалар боғчаси</t>
  </si>
  <si>
    <t>"Шодлик" МФЙ, 376-сонли мактаб ҳудуди</t>
  </si>
  <si>
    <t>"Ибн Сино" МФЙ, 262-сонли мактаб ҳудуди</t>
  </si>
  <si>
    <t>"Катта Жарариқ" МФЙ, 320-сонли мактаб ҳудуди</t>
  </si>
  <si>
    <t>"Тинчлик " МФЙ, 92-сонли мактаб ҳудуди</t>
  </si>
  <si>
    <t>"Олим Хужаев" МФЙ, 157-сонли мактаб ҳудуди</t>
  </si>
  <si>
    <t>"Чархновза" МФЙ, 295-сонли мактаб ҳудуди</t>
  </si>
  <si>
    <t>"Ипакчи" МФЙ, Ипакчи кўчаси</t>
  </si>
  <si>
    <t>Савдо-маиший хизмат кўрсатиш обектлари</t>
  </si>
  <si>
    <t>Реконструкция
(5 қават)</t>
  </si>
  <si>
    <t>"Шодлик" МФЙ, Белтепа кўчаси</t>
  </si>
  <si>
    <t>"Ибн Сино" МФЙ, ТХАЙ ва Кўксарой кўчалари кесишуви</t>
  </si>
  <si>
    <t>"Жарариқ" МФЙ, Тошкўча кўчаси</t>
  </si>
  <si>
    <t>Реновация
(2 қават)</t>
  </si>
  <si>
    <t>Ижтимоий хизмат кўрсатиш обектлари</t>
  </si>
  <si>
    <t>"Янги Шаҳар" МФЙ, Нурафшон кўчаси</t>
  </si>
  <si>
    <t>"Каттаховуз", "Сузукота", "С.Дарвоза", "Олим Хужаев", "Зангиота", "Эшонгузар", "Каттабоғ", "Камолон" ва "Оқлон" МФЙ ҳудудлари</t>
  </si>
  <si>
    <t>"Катта Оқтепа" МФЙ, Нурафшон кўчаси</t>
  </si>
  <si>
    <t>"Камолон Дарвоза" МФЙ, Бунёдкор кўчаси</t>
  </si>
  <si>
    <t>Реновация
(18 қават)</t>
  </si>
  <si>
    <t>"Чақар" МФЙ, Қоратош кўчаси</t>
  </si>
  <si>
    <t>"Гулбозор" МФЙ, Чорсу бозори</t>
  </si>
  <si>
    <t>"Кохота" МФЙ</t>
  </si>
  <si>
    <t>"Тахтапул", "Лабзак" МФЙ, ҳудудларида</t>
  </si>
  <si>
    <t xml:space="preserve"> "Тахтапул" МФЙ</t>
  </si>
  <si>
    <t>Реновация  (7 қават)</t>
  </si>
  <si>
    <t>Фаробий кўчаси</t>
  </si>
  <si>
    <t>Реконструкция (2 қават)</t>
  </si>
  <si>
    <t>Офис ва савдо-маиший хизмат кўрсатиш обектлари</t>
  </si>
  <si>
    <t>"Шодлик" МФЙ, ТХАЙ ва Зангиота кўчалари кесишуви</t>
  </si>
  <si>
    <t>Бозсув каннали</t>
  </si>
  <si>
    <t>"Катта Оқтепа" МФЙ</t>
  </si>
  <si>
    <t>"Самарқанд Дарвоза" МФЙ</t>
  </si>
  <si>
    <t>"Сархумдон" МФЙ, Лайлитўғон кўчаси</t>
  </si>
  <si>
    <t>"Хадра" МФЙ, А.Қодирий боғи</t>
  </si>
  <si>
    <t>Давлат дастури асосида реконструкция ишлари амалга ошириш</t>
  </si>
  <si>
    <t>"Тахтапул" МФЙ, С.Хужаев кўчаси</t>
  </si>
  <si>
    <t>Реновация
(4 қават)</t>
  </si>
  <si>
    <t>"Олмазор" МФЙ, Тошкент ситй ҳудуди</t>
  </si>
  <si>
    <t>Реконструкция
(8 қават)</t>
  </si>
  <si>
    <t xml:space="preserve">Мирзо Улуғбек </t>
  </si>
  <si>
    <t>Мирзо Улуғбек тумани, Буюк Ипак Йўли МФЙ, Сайрам  ва Мирзо Улуғбек кўчаларида жойлашган</t>
  </si>
  <si>
    <t>Реконструкция                          
(5 қават )</t>
  </si>
  <si>
    <t>Кўп хонадонли турар жой мажмуаси ва Мактабгача таълим муассасаси</t>
  </si>
  <si>
    <t>Мирзо Улуғбек тумани, Янги Олмачи ҳамда Олмачи МФЙ, Мирзо Улуғбек ва Муҳаммад Юсуф кўчалари оралиғида  жойлашган</t>
  </si>
  <si>
    <t>Реконструкция                         
(2-5 қават )</t>
  </si>
  <si>
    <t>Пастки қаватлари нотурар жой бўлган кўп хонадонли турар жой мажмуаси</t>
  </si>
  <si>
    <t>Мирзо Улуғбек тумани, Подшобоғ ҳамда Олмачи МФЙ, Муҳаммад Юсуф кўчаси бўйида жойлашган</t>
  </si>
  <si>
    <t>Реконструкция                         
(2 қават)</t>
  </si>
  <si>
    <t>Пастки қаватлари нотурар жой бўлган кўп хонадонли турар жой  мажмуаси</t>
  </si>
  <si>
    <t>Мирзо Улуғбек тумани, Навнихол МФЙ, Олимлар, Неъмат, Шахриобод ҳамда Гулбаданбегиим кўчалари оралиғида жойлашган</t>
  </si>
  <si>
    <t>Кўп хонадонли турар жой  мажмуаси ва  Мактаб гача таълим муассасаси</t>
  </si>
  <si>
    <t>Мирзо Улуғбек тумани, Навнихол МФЙ, Гулбаданбегим, Шахриобод, Олимлар ҳамда Муминова кўчалари оралиғида жойлашган</t>
  </si>
  <si>
    <t>Реконструкция                          
(5 қават)</t>
  </si>
  <si>
    <t>Мирзо Улуғбек тумани, Олий ҳиммат МФЙ, Дўрмон йўли кўчаси бўйида жойлашган</t>
  </si>
  <si>
    <t>Реконструкция                         
 (5 қават)</t>
  </si>
  <si>
    <t>Мирзо Улуғбек тумани, Навнихол МФЙ, Дўрмон йўли, Гулбаданбегим, Олимлар ҳамда Тепамасжид кўчалари оралиғида жойлашган</t>
  </si>
  <si>
    <t>Реконструкция                          
(7 қават)</t>
  </si>
  <si>
    <t>Реновация
(27 қават)</t>
  </si>
  <si>
    <t>Мирзо Улуғбек тумани, Олий химмат МФЙ, Зиёлилар кўчаси бўйида жойлашган</t>
  </si>
  <si>
    <t>Пастки қаватлари нотурар жой бўлган кўп хонадонли турар жой  мажмуаси</t>
  </si>
  <si>
    <t>Мирзо Улуғбек тумани, Ойдин МФЙ, Катта Дархон кўчаси 9-уй жойлашган</t>
  </si>
  <si>
    <t xml:space="preserve">Пастки қаватлари нотурар жой бўлган кўп хонадонли турар жой  мажмуаси </t>
  </si>
  <si>
    <t>Мирзо Улуғбек тумани, Дархон МФЙ, Оққўрғон ҳамда Катта дархон кўчаларида жойлашган</t>
  </si>
  <si>
    <t>Реновация                                   
(5 қават)</t>
  </si>
  <si>
    <t>Мирзо Улуғбек тумани, Оққўрғон МФЙ, Оққоўрғон кўчасида жойлашган</t>
  </si>
  <si>
    <t>Реконструкция                          
(8 қават)</t>
  </si>
  <si>
    <t>Мирзо Улуғбек тумани, Олтинтепа МФЙ, Олитнтепа кўчасида жойлашган</t>
  </si>
  <si>
    <t>Реконструкция                         
 (2 қават)</t>
  </si>
  <si>
    <t>Мирзо Улуғбек тумани, Сайрам МФЙ, Зиёлилар кўчасида жойлашган</t>
  </si>
  <si>
    <t xml:space="preserve">Пастки қаватлари нотурар жой бўлган кўп хонадонли турар жой   мажмуаси </t>
  </si>
  <si>
    <t>Мирзо Улуғбек тумани, Минглола МФЙ, Авайхон кўчаси бўйида жойлашган</t>
  </si>
  <si>
    <t>Мирзо Улуғбек тумани, Чингелди МФЙ, Янги Ўзбекистон шох кўчаси бўйида жойлашган</t>
  </si>
  <si>
    <t>Реновация                                  
 (3 қават)</t>
  </si>
  <si>
    <t>Тасдиқланган концепция асосида турар ва нотурар бинолар</t>
  </si>
  <si>
    <t xml:space="preserve">Мирзо Улуғбек тумани, Турон МФЙ, Паркент кўчаси бўйида </t>
  </si>
  <si>
    <t>Бизнес маркази</t>
  </si>
  <si>
    <t xml:space="preserve">Мирзо Улуғбек тумани, Сайрам МФЙ, Сайрам 7-тор кўчаси бўйида </t>
  </si>
  <si>
    <t>Консервация                             
 (0 қават)</t>
  </si>
  <si>
    <t>Махалла маркази</t>
  </si>
  <si>
    <t>Мирзо Улуғбек тумани, Боғимайдон МФЙ, Яланғоч даҳаси</t>
  </si>
  <si>
    <t>Консервация                              
(0 қават)</t>
  </si>
  <si>
    <t>Мирзо Улуғбек тумани, Ҳамид Олимжон МФЙ, Қори Ниёзий кўчасида</t>
  </si>
  <si>
    <t xml:space="preserve"> Пастки қаватлари нотурар жой бўлган кўп хонадонли турар жой   мажмуаси</t>
  </si>
  <si>
    <t>Мирзо Улуғбек тумани, Оққўрғон МФЙ, Осиё кўчасида</t>
  </si>
  <si>
    <t>Мирзо Улуғбек тумани, Чингелди ҳамда Иқтидор МФЙ, Чавандоз кўчасида</t>
  </si>
  <si>
    <t>Ихтисослаштирилган илмий-тадқиқот институти ва лабараториялари (Ҳунармандлар маскани)</t>
  </si>
  <si>
    <t>Мирзо Улуғбек тумани, Ижодкор МФЙ, Миллий боғ кўчасида</t>
  </si>
  <si>
    <t>Нотурар жой бинолари</t>
  </si>
  <si>
    <t>Мирзо Улуғбек тумани, Алпомиш МФЙ, Дўрмон йўли кўчасида</t>
  </si>
  <si>
    <t>Мирзо Улуғбек тумани, Гулсанам МФЙ, Қорасув-1 даҳаси</t>
  </si>
  <si>
    <t>Мирзо Улуғбек тумани, Алпомиш МФЙ, Буюк Ипак йўли 137а-уй ёнида</t>
  </si>
  <si>
    <t>Ўқув маркази биноси</t>
  </si>
  <si>
    <t>Мирзо Улуғбек тумани, Чингелди МФЙ, Янгиобод кўчасида</t>
  </si>
  <si>
    <t>Офис, савдо ва маиший хизмат кўрсатиш биноси</t>
  </si>
  <si>
    <t>Мирзо Улуғбек тумани, Олмачи МФЙ, Мухаммад Юсуф кўчасида</t>
  </si>
  <si>
    <t>Мирзо Улуғбек тумани, Сайрам МФЙ, Сайрам кўчасида</t>
  </si>
  <si>
    <t>Реконструкция                        
  (5 қават)</t>
  </si>
  <si>
    <t>Мирзо Улуғбек тумани, Азамат МФЙ, ТТЗ-4 даҳасида</t>
  </si>
  <si>
    <t>Консервация                           
 (0 қават)</t>
  </si>
  <si>
    <t>Савдо ва маиший хизмат кўрсатиш биноси</t>
  </si>
  <si>
    <t xml:space="preserve">Мирзо Улуғбек тумани, Бўз МФЙ, Зиёлилар кўчаси, 26-уй </t>
  </si>
  <si>
    <t>Реконструкция
(32 қават)</t>
  </si>
  <si>
    <t xml:space="preserve">Мирзо Улуғбек тумани, Бўз МФЙ, Зиёлилар кўчаси </t>
  </si>
  <si>
    <t>Мирзо Улуғбек тумани, Сайрам МФЙ, Сайрам 7-тор кўчасида</t>
  </si>
  <si>
    <t>Реновация                                  
 (5 қават)</t>
  </si>
  <si>
    <t xml:space="preserve">Мирзо Улуғбек тумани,Ойдин МФЙ, Янгитарнов 1-тор </t>
  </si>
  <si>
    <t xml:space="preserve">Мирзо Улуғбек тумани, Навнихол МФЙ, Дўрмон йўли ҳамда Шахриобод кўчалари оралиғида </t>
  </si>
  <si>
    <t>Реконструкция
(18 қават)</t>
  </si>
  <si>
    <t>Мактабгача таълим муассасаси ва Мактаб бинолари ҳамда Кўп хонадонли турар жой мажмуаси</t>
  </si>
  <si>
    <t xml:space="preserve">Мирзо Улуғбек тумани, Шахриобод МФЙ, Шахриобод кўчаси 3-уй </t>
  </si>
  <si>
    <t>Реконструкция
(4 қават)</t>
  </si>
  <si>
    <t>Мирзо Улуғбек тумани, Асака МФЙ, Асака 1-тор кўчаси</t>
  </si>
  <si>
    <t>Реновация
(30 қават)</t>
  </si>
  <si>
    <t xml:space="preserve">Мактабгача таълим муассасаси ва Мактаб бинолари ҳамда Кўп хонадонли турар жой мажмуаси </t>
  </si>
  <si>
    <t>Мирзо Улуғбек тумани, Яланғоч, Бахор ҳамда Нодирабегим МФЙлар, Темур Малик кўчаси бўйида</t>
  </si>
  <si>
    <t>Реконструкция                          
(2 қават)</t>
  </si>
  <si>
    <t>Реновация
(7 қават)</t>
  </si>
  <si>
    <t xml:space="preserve">Мирзо Улуғбек тумани, Олмачи МФЙ, Паркент кўчаси, 131-уй </t>
  </si>
  <si>
    <t>Мирзо Улуғбек тумани, Янги Олмачи МФЙ, Мустақиллик кўчаси</t>
  </si>
  <si>
    <t>Реновация
(36 қават)</t>
  </si>
  <si>
    <t>Кўп квартирали турар жой ва соавдо-хизмат кўрсатиш объектлари</t>
  </si>
  <si>
    <t>https://www.google.com/maps/place/41%C2%B018'56.0%22N+69%C2%B019'38.2%22E/@41.3214637,69.3133821,301m/data=!3m1!1e3!4m4!3m3!8m2!3d41.315566!4d69.327283?entry=ttu&amp;g_ep=EgoyMDI1MDUxMy4xIKXMDSoASAFQAw%3D%3D</t>
  </si>
  <si>
    <t>Мирзо Улуғбек тумани, Мустақиллик МФЙ, Мустақиллик шох кўчаси</t>
  </si>
  <si>
    <t>Реконструкция
(64 қават)</t>
  </si>
  <si>
    <t>Мирзо Улуғбек тумани, Олимлар МФЙ, Дщрмон йўли кўчаси</t>
  </si>
  <si>
    <t>Мирзо Улуғбек тумани, Сайрам МФЙ, Сайрам 5-тор кўчаси</t>
  </si>
  <si>
    <t>Реновация
(20 қават)</t>
  </si>
  <si>
    <t>Олмазор</t>
  </si>
  <si>
    <t>"Гани Азамов" МФЙ, Кичик халка автомобиль йули ва Сабон кучалари кесишмасида</t>
  </si>
  <si>
    <t>Рееконструкция (5 қават)</t>
  </si>
  <si>
    <t>Савдо маиший хизмат кўрсатиш кўп квартирали турар жойлар</t>
  </si>
  <si>
    <t>"Қорасарой" МФЙ, Қорасарой ва Минор кўчалари кесишувида</t>
  </si>
  <si>
    <t>Мискин 2- МФЙ  (Шимолий Олмазор кўчаси, Ўзсаноатқурилишбанк рўпараси)</t>
  </si>
  <si>
    <t>"Мискин" 3-МФЙ, Уста Ширин кўча 119, 117 ва 115-уйлар, Тахтапул  Дарвоза  кучалари  кесишувида (Нотариус)</t>
  </si>
  <si>
    <t>"Мискин" 4-МФЙ, Уста Ширин кўча 110, 110а ва 108-уйлар (ГОРпес рўпараси)</t>
  </si>
  <si>
    <t>"Мискин" 5- МФЙ, Мискин ва А.Донишvкўчалари кесишувида (Мискин МФЙ янги биноси ёнида)</t>
  </si>
  <si>
    <t>"Чилтўғон" МФЙ, Нурафшон айланма кўчаси ва Шимолий Олмазор кўчалари кесишувида</t>
  </si>
  <si>
    <t>"Гуруч ариқ" МФЙ, Сағбон кўчаси</t>
  </si>
  <si>
    <t>Мискин 2- МФЙ  худудида</t>
  </si>
  <si>
    <r>
      <t xml:space="preserve">Жомий саноат ҳудудида </t>
    </r>
    <r>
      <rPr>
        <sz val="12"/>
        <color rgb="FF000000"/>
        <rFont val="Calibri"/>
        <family val="2"/>
        <scheme val="minor"/>
      </rPr>
      <t>юқори технологик, инновацион, саноат ипотека ҳудуди (яшаш массиви эмас)</t>
    </r>
  </si>
  <si>
    <t>https://www.google.com/maps/place/EMAN+Materials+JOMIY/@41.3593071,69.2551514,853m/data=!3m1!1e3!4m14!1m7!3m6!1s0x38ae8c9205fb7f03:0xd9a0187d871f73e0!2sONIKS+TASHKENT!8m2!3d41.3551016!4d69.2491475!16s%2Fg%2F11f35d5cm7!3m5!1s0x38ae8d5f3172c675:0x6650c392a139d17f!8m2!3d41.3586242!4d69.2561063!16s%2Fg%2F11h008thvw?entry=ttu&amp;g_ep=EgoyMDI1MDEyOC4wIKXMDSoASAFQAw%3D%3D</t>
  </si>
  <si>
    <t>Мискин 2- МФЙ  (Шимолий Олмазор кўчаси,Янги Олмазор кўчаси ва Уста ширин кўчалари кесишмаси</t>
  </si>
  <si>
    <t>КСЗ ҳудудиа замонавий  Савдо маиший хизмат кўрсатиш кўп квартирали турар жойлар</t>
  </si>
  <si>
    <t>https://www.google.com/maps/place/ONIKS+TASHKENT/@41.3546526,69.2481497,427m/data=!3m1!1e3!4m14!1m7!3m6!1s0x38ae8c9205fb7f03:0xd9a0187d871f73e0!2sONIKS+TASHKENT!8m2!3d41.3551016!4d69.2491475!16s%2Fg%2F11f35d5cm7!3m5!1s0x38ae8c9205fb7f03:0xd9a0187d871f73e0!8m2!3d41.3551016!4d69.2491475!16s%2Fg%2F11f35d5cm7?entry=ttu&amp;g_ep=EgoyMDI1MDEyOC4wIKXMDSoASAFQAw%3D%3D</t>
  </si>
  <si>
    <t>Олмазор тумани, Қорақамиш -3 кўчаси</t>
  </si>
  <si>
    <t xml:space="preserve">консервация қисман қизил чизиқ  4 қават </t>
  </si>
  <si>
    <t>Реконструкция                                                          ( 5 қават)</t>
  </si>
  <si>
    <t>“Юқори Бешқўрғон” МФЙ идораси</t>
  </si>
  <si>
    <t>https://www.google.com/maps/place/41%C2%B022'17.7%22N+69%C2%B011'59.7%22E/@41.3713394,69.1995365,789m/data=!3m1!1e3!4m4!3m3!8m2!3d41.371585!4d69.199912?entry=ttu&amp;g_ep=EgoyMDI1MDEyNy4wIKXMDSoASAFQAw%3D%3D</t>
  </si>
  <si>
    <t>Мискин кўчаси</t>
  </si>
  <si>
    <t>“Мискин” МФЙ идораси</t>
  </si>
  <si>
    <t>https://www.google.com/maps/place/41%C2%B020'53.6%22N+69%C2%B015'39.9%22E/@41.348212,69.261086,1578m/data=!3m1!1e3!4m4!3m3!8m2!3d41.348212!4d69.261086?entry=ttu&amp;g_ep=EgoyMDI1MDEyNy4wIKXMDSoASAFQAw%3D%3D</t>
  </si>
  <si>
    <t>Олмазор тумани, Сағбон кўчаси, 166-уй</t>
  </si>
  <si>
    <t xml:space="preserve">“Гузарбоши”МФЙ идораси </t>
  </si>
  <si>
    <t>https://www.google.com/maps/place/41%C2%B020'19.5%22N+69%C2%B013'54.8%22E/@41.338737,69.231877,1578m/data=!3m1!1e3!4m4!3m3!8m2!3d41.338737!4d69.231877?entry=ttu&amp;g_ep=EgoyMDI1MDEyNy4wIKXMDSoASAFQAw%3D%3D</t>
  </si>
  <si>
    <t>Қорақамиш-3 кўчаси</t>
  </si>
  <si>
    <t xml:space="preserve">“Шон Шухрат” МФЙ идораси </t>
  </si>
  <si>
    <t>https://www.google.com/maps/place/41%C2%B022'17.5%22N+69%C2%B012'01.9%22E/@41.37154,69.200518,1577m/data=!3m1!1e3!4m4!3m3!8m2!3d41.37154!4d69.200518?entry=ttu&amp;g_ep=EgoyMDI1MDEyNy4wIKXMDSoASAFQAw%3D%3D</t>
  </si>
  <si>
    <t xml:space="preserve">Қорақамиш-1 кўчаси 2а уйлар оралиғида </t>
  </si>
  <si>
    <t xml:space="preserve">консервация қизил чизиқ  0 қават </t>
  </si>
  <si>
    <t xml:space="preserve">“Умид” МФЙ идораси </t>
  </si>
  <si>
    <t>https://www.google.com/maps/place/41%C2%B021'57.9%22N+69%C2%B012'54.8%22E/@41.366091,69.215208,1578m/data=!3m1!1e3!4m4!3m3!8m2!3d41.366091!4d69.215208?entry=ttu&amp;g_ep=EgoyMDI1MDEyNy4wIKXMDSoASAFQAw%3D%3D</t>
  </si>
  <si>
    <t>Қорақамиш 1/4 дахаси, 34/1-уй</t>
  </si>
  <si>
    <t>“Гулсарой” МФЙ идора</t>
  </si>
  <si>
    <t>https://www.google.com/maps/place/41%C2%B021'56.3%22N+69%C2%B014'13.0%22E/@41.365651,69.236931,1578m/data=!3m1!1e3!4m4!3m3!8m2!3d41.365651!4d69.236931?entry=ttu&amp;g_ep=EgoyMDI1MDEyNy4wIKXMDSoASAFQAw%3D%3D</t>
  </si>
  <si>
    <t xml:space="preserve">Хумайро Ўратепа кўчаси 37-уй ёнида </t>
  </si>
  <si>
    <t>“Кайковуз” МФЙ идораси</t>
  </si>
  <si>
    <t>Shimoliy Olmazor 1-tor ko‘chasi va Bobojonov ko‘chasi 10,12,38-uylar ro‘parasi</t>
  </si>
  <si>
    <t>“Хончорбоғ”МФЙ идораси</t>
  </si>
  <si>
    <t>https://www.google.com/maps/place/41%C2%B020'47.7%22N+69%C2%B015'05.1%22E/@41.346576,69.25141,1578m/data=!3m1!1e3!4m4!3m3!8m2!3d41.346576!4d69.25141?entry=ttu&amp;g_ep=EgoyMDI1MDEyNy4wIKXMDSoASAFQAw%3D%3D</t>
  </si>
  <si>
    <t>Сағбон кўчаси 5-уй олдида</t>
  </si>
  <si>
    <t>“Зархал”МФЙ идораси</t>
  </si>
  <si>
    <t xml:space="preserve">Beshqo`rg`on 3-daxasi (Shiribom yonida) </t>
  </si>
  <si>
    <t>Кўп қаватли турар уй жой бинолари</t>
  </si>
  <si>
    <t>Shifokorlar MFY</t>
  </si>
  <si>
    <t>Реновация
(8 қават)</t>
  </si>
  <si>
    <t>Мехмонхона Соғломлаштириш маркази ижтимоий обьектлар</t>
  </si>
  <si>
    <t>https://www.google.com/maps/place/41%C2%B021'18.0%22N+69%C2%B010'16.0%22E/@41.3549887,69.1685226,17z/data=!3m1!4b1!4m4!3m3!8m2!3d41.3549887!4d69.1710975?entry=ttu&amp;g_ep=EgoyMDI1MDEyMi4wIKXMDSoASAFQAw%3D%3D</t>
  </si>
  <si>
    <t>Mustaqil yurt MFY</t>
  </si>
  <si>
    <t>Кўп тармоқли мажмуа бинолари</t>
  </si>
  <si>
    <t>https://www.google.com/maps/place/41%C2%B022'00.9%22N+69%C2%B011'55.3%22E/@41.3669085,69.1961129,17z/data=!3m1!4b1!4m4!3m3!8m2!3d41.3669085!4d69.1986878?entry=ttu&amp;g_ep=EgoyMDI1MDEyMi4wIKXMDSoASAFQAw%3D%3D</t>
  </si>
  <si>
    <t>Иброхим ота ва Широқ қўчалари кесишувида</t>
  </si>
  <si>
    <t>Реновация
(3 қават)</t>
  </si>
  <si>
    <t>Ишлаб чиқариш омборхоналари</t>
  </si>
  <si>
    <t>Бешқўрғон-3 дахаси, 24 уй олдида</t>
  </si>
  <si>
    <t>Маиший хизмат кўрсатиш офис</t>
  </si>
  <si>
    <t>https://www.google.com/maps/place/41%C2%B021'59.2%22N+69%C2%B011'55.5%22E/@41.3664562,69.1961637,846m/data=!3m2!1e3!4b1!4m4!3m3!8m2!3d41.3664562!4d69.1987386?entry=ttu&amp;g_ep=EgoyMDI1MDEyMi4wIKXMDSoASAFQAw%3D%3D</t>
  </si>
  <si>
    <t>Қорақамиш-2/1 даҳа, 191-мактаб орқасида</t>
  </si>
  <si>
    <t>https://www.google.com/maps/place/41%C2%B021'37.5%22N+69%C2%B013'15.7%22E/@41.3604256,69.2184624,17z/data=!3m1!4b1!4m4!3m3!8m2!3d41.3604256!4d69.2210373?entry=ttu&amp;g_ep=EgoyMDI1MDEyMi4wIKXMDSoASAFQAw%3D%3D</t>
  </si>
  <si>
    <t>Paxta MFY</t>
  </si>
  <si>
    <t>Реконструкция+Консервация</t>
  </si>
  <si>
    <t>Маиший хизмат кўрсатиш офис, кўп қаватли турар жой биноси</t>
  </si>
  <si>
    <t>https://www.google.com/maps/place/41%C2%B021'36.1%22N+69%C2%B013'29.0%22E/@41.36004,69.2221427,17z/data=!3m1!4b1!4m4!3m3!8m2!3d41.36004!4d69.2247176?entry=ttu&amp;g_ep=EgoyMDI1MDEyMi4wIKXMDSoASAFQAw%3D%3D</t>
  </si>
  <si>
    <t>Қамарнисо кўчасида</t>
  </si>
  <si>
    <t>Реконструкция
(2 қават)</t>
  </si>
  <si>
    <t>https://www.google.com/maps/place/41%C2%B021'40.6%22N+69%C2%B011'28.4%22E/@41.3612799,69.1886387,17z/data=!3m1!4b1!4m4!3m3!8m2!3d41.3612799!4d69.1912136?entry=ttu&amp;g_ep=EgoyMDI1MDEyMi4wIKXMDSoASAFQAw%3D%3D</t>
  </si>
  <si>
    <t>Qoraqamish ko'chasi, 21-uy (Qariyalar uyi oldi)</t>
  </si>
  <si>
    <t xml:space="preserve">Реконструкция (5 қават) </t>
  </si>
  <si>
    <t>Савдо маиший хизмат кўрсатиш ва кўп қаватли турар уй жой бинолари</t>
  </si>
  <si>
    <t>Taraqqiyot ko'chasi</t>
  </si>
  <si>
    <t xml:space="preserve">Савдо маиший хизмат кўрсатиш </t>
  </si>
  <si>
    <t>Sag‘bon ko'chasi, 295-uy</t>
  </si>
  <si>
    <t xml:space="preserve">Реконструкция (7 қават) </t>
  </si>
  <si>
    <t>Olmazor tumani, Ziyo MFY, Talabalar ko'chasi, 21-uy (E`tiqod mebel)</t>
  </si>
  <si>
    <t>Сагбон кучаси, 186-уй</t>
  </si>
  <si>
    <t>Чимбой кучаси, 1-уй (Chimboy Tower)</t>
  </si>
  <si>
    <t>Олтинсой кўчаси (Kumush invest qurilgan)</t>
  </si>
  <si>
    <t>Реновация
(21 қават)</t>
  </si>
  <si>
    <t>Талабалар кўчасида              (Qora Qamish bozor o`rni)</t>
  </si>
  <si>
    <t>IT сохасига ихтисослаштирилган кўп қаватли офис биноси</t>
  </si>
  <si>
    <t>https://www.google.com/maps/place/Bozorcha/@41.3512142,69.2131454,503m/data=!3m1!1e3!4m6!3m5!1s0x38ae8d2db7c16175:0x6954721346bcb53a!8m2!3d41.351958!4d69.2124816!16s%2Fg%2F11p106k2j3?entry=ttu&amp;g_ep=EgoyMDI1MDEyOC4wIKXMDSoASAFQAw%3D%3D</t>
  </si>
  <si>
    <t>Қорасарой кўчаси, 269-уй (Soliq binosi)</t>
  </si>
  <si>
    <t>реновация (5 қават)</t>
  </si>
  <si>
    <t>Бизнес марказ ва уй жой</t>
  </si>
  <si>
    <t>Қорақамиш 1-кўчаси, 21-уй (Qushbozor o`rni ECO bozor)</t>
  </si>
  <si>
    <t>Савдо комплекс</t>
  </si>
  <si>
    <t>https://www.google.com/maps/place/41%C2%B020'47.5%22N+69%C2%B013'56.1%22E/@41.3618233,69.2138245,503m/data=!3m1!1e3!4m4!3m3!8m2!3d41.3465352!4d69.2322473?entry=ttu&amp;g_ep=EgoyMDI1MDEyOC4wIKXMDSoASAFQAw%3D%3D</t>
  </si>
  <si>
    <t>Фаробий кўчаси, 270-уй (111-maktab oldi)</t>
  </si>
  <si>
    <t>реконструкция (7 қават)</t>
  </si>
  <si>
    <t>Нон шаҳри мажмуаси</t>
  </si>
  <si>
    <t>https://www.google.com/maps/@41.3384394,69.2231381,356m/data=!3m1!1e3?entry=ttu&amp;g_ep=EgoyMDI1MDEyOC4wIKXMDSoASAFQAw%3D%3D</t>
  </si>
  <si>
    <t>Нурафшон кўчаси, 52-уй (Tuman Elektr Tarmoqlari)</t>
  </si>
  <si>
    <t>Кўп квартирали турар жой бинолари</t>
  </si>
  <si>
    <t>Фаробий кўчаси, 26А-уй (Shahar suv ta`minoti)</t>
  </si>
  <si>
    <t>реконструкция (5 қават)</t>
  </si>
  <si>
    <t>Реконстукция
(16 қават)</t>
  </si>
  <si>
    <t>Савдо маиший хизмат кўрсатиш ва Кўп квартирали турар жой бинолари</t>
  </si>
  <si>
    <t>"Чилтўғон" МФЙ, Тахтапул ва А.Дониш кўчалари оралиғи                 (Шош Силвер ва туташ ҳудуд)</t>
  </si>
  <si>
    <t>Реконстукция
(12 қават)</t>
  </si>
  <si>
    <t>https://www.google.com/maps/@41.3388281,69.2582532,301m/data=!3m1!1e3?entry=ttu&amp;g_ep=EgoyMDI1MDMwOC4wIKXMDSoASAFQAw%3D%3D</t>
  </si>
  <si>
    <t>"Гуручарик-2" МФЙ</t>
  </si>
  <si>
    <t xml:space="preserve"> Реновация (12 қават)</t>
  </si>
  <si>
    <t xml:space="preserve">Кўп квартирали турар жой бинолари. </t>
  </si>
  <si>
    <t>"Гузарбоши" МФЙ</t>
  </si>
  <si>
    <t>Реконструкция 7 қават</t>
  </si>
  <si>
    <t xml:space="preserve"> Реконструкция (12 қават)</t>
  </si>
  <si>
    <t>"Куёш" МФЙ</t>
  </si>
  <si>
    <t>Реконструкция (8 қават)</t>
  </si>
  <si>
    <t>0,12</t>
  </si>
  <si>
    <t>"Шодиёна" МФЙ</t>
  </si>
  <si>
    <t>Учтепа</t>
  </si>
  <si>
    <t xml:space="preserve">Учтепа тумани, Ширин МФЙ  </t>
  </si>
  <si>
    <t>Турар жой ва савдо хизмат кўрсатиш объектлари</t>
  </si>
  <si>
    <t>Консервация худуди</t>
  </si>
  <si>
    <t>Реновация
(9 қават)</t>
  </si>
  <si>
    <t>Учтепа тумани, 
Хамдўст МФЙ</t>
  </si>
  <si>
    <t>Турар жой ва хусусий клиника, МТТ объектлари</t>
  </si>
  <si>
    <t>Аукцион (инвестиция)</t>
  </si>
  <si>
    <t xml:space="preserve">Учтепа тумани, 
Ватанпарвар МФЙ  </t>
  </si>
  <si>
    <t xml:space="preserve">Реновация (5  қават) </t>
  </si>
  <si>
    <t xml:space="preserve">Учтепа тумани, 
Нуробод МФЙ  </t>
  </si>
  <si>
    <t>Реконструкция 
(3 қават)</t>
  </si>
  <si>
    <t>савдо хизмат кўрсатиш объектлари</t>
  </si>
  <si>
    <t xml:space="preserve">Учтепа тумани, 
Ватан МФЙ  </t>
  </si>
  <si>
    <t>Реконструкция 
(2 қават)</t>
  </si>
  <si>
    <t>Реконструкция 
(7 қават)</t>
  </si>
  <si>
    <t xml:space="preserve">Учтепа тумани, 
Гузар МФЙ  </t>
  </si>
  <si>
    <t>Реконструкция 
(25 қават)</t>
  </si>
  <si>
    <t xml:space="preserve">Учтепа тумани, 
Кўхна Чўпонота МФЙ  </t>
  </si>
  <si>
    <t>Консервация худуди (0 қават)</t>
  </si>
  <si>
    <t>Маҳалла биноси</t>
  </si>
  <si>
    <t xml:space="preserve">Учтепа тумани, 
Боғобод МФЙ  </t>
  </si>
  <si>
    <t xml:space="preserve">Учтепа тумани, 
Катта Чўпонота МФЙ  </t>
  </si>
  <si>
    <t>Реновация (6 қават)</t>
  </si>
  <si>
    <t>Реновация 
(18 қават)</t>
  </si>
  <si>
    <t xml:space="preserve">Учтепа тумани, 
Бирлик МФЙ  </t>
  </si>
  <si>
    <t>Учтепа тумани, Катта Чўпонота МФЙ, Фозилтепа кучаси (Бўзсув канали оралиғида)</t>
  </si>
  <si>
    <t>Реновация 
(35 қават)</t>
  </si>
  <si>
    <t>Турар жой ва савдо хизмат кўрсатиш, мехмонхона, ҳусусий клиника, мактабгача таълим муасссаси ҳамда  Мактаб объектлари</t>
  </si>
  <si>
    <t xml:space="preserve">Учтепа тумани, 
Давлотобод МФЙ  </t>
  </si>
  <si>
    <t>Қисман Консервация худуди (0,3 с) ва Реновация (8 қават)</t>
  </si>
  <si>
    <t>Учтепа тумани, 
Журжоний МФЙ</t>
  </si>
  <si>
    <t>Реновация (8 қават)</t>
  </si>
  <si>
    <t>Ёшлар саноат зонаси объектлари</t>
  </si>
  <si>
    <t>Учтепа тумани, 
Кўкча Оқтепа МФЙ</t>
  </si>
  <si>
    <t xml:space="preserve">Учтепа тумани, 
Пахтакор МФЙ, Кўкча Оқтепа МФЙ ва Журжоний МФЙ  </t>
  </si>
  <si>
    <t xml:space="preserve">Учтепа тумани, 
Пахтакор МФЙ, Шофайзибоғ МФЙ ва Нишабариқ МФЙ  </t>
  </si>
  <si>
    <t>Реновация ва Реконструкция 
(3-5 қават)</t>
  </si>
  <si>
    <t>Учтепа тумани, 
Зарафшон МФЙ</t>
  </si>
  <si>
    <t>Реновация 
(2 қават)</t>
  </si>
  <si>
    <t>Учтепа тумани, 
Оқмасжид МФЙ</t>
  </si>
  <si>
    <t>Учтепа тумани, 
Ўрикзор МФЙ</t>
  </si>
  <si>
    <t>Учтепа тумани, Кўксарой МФЙ</t>
  </si>
  <si>
    <t>Учтепа тумани, 
Фозилтепа МФЙ</t>
  </si>
  <si>
    <t>Турар жой</t>
  </si>
  <si>
    <t>Яккасарой тумани</t>
  </si>
  <si>
    <t xml:space="preserve">Шохжаҳон МФЙ,  Ш,Руставели кўчаси, 52а-уй манзили ASKIYA DEHQON BOZORI худуди </t>
  </si>
  <si>
    <t>Реновация                            қаватлар сони 5</t>
  </si>
  <si>
    <t>Реновация            қаватлар сони 33</t>
  </si>
  <si>
    <t xml:space="preserve">Савдо маиший кўп хонадонли турар жой Мехмонхона ва бизнес марказлар   </t>
  </si>
  <si>
    <t>Мухандислар МФЙ TOSHKENT SHAHAR KICHIK VA YOSHLAR SANOAT ZONALARINI BOSHQARISH DIREKSIYASI DAVLAT MUASSASASI худуди</t>
  </si>
  <si>
    <t>Реновация                            қаватлар сони 10</t>
  </si>
  <si>
    <t>Реновация            қаватлар сони 35-48</t>
  </si>
  <si>
    <t xml:space="preserve">Савдо маиший кўп хонадонли турар жой ва бизнес марказлар   </t>
  </si>
  <si>
    <t>Дамариқ МФЙ,  Абдулла Қаххор  кўчаси</t>
  </si>
  <si>
    <t>Реновация            қаватлар сони 25</t>
  </si>
  <si>
    <t xml:space="preserve">Боғсарой МФЙ, Миробод кўчаси 2-уй  манзил худуди </t>
  </si>
  <si>
    <t>Реконструкция                         қаватлар сони 5</t>
  </si>
  <si>
    <t>Реновация            қаватлар сони 35</t>
  </si>
  <si>
    <t>Мехмонхона, Савдо маиший кўп хонадонли турар жой ва бизнес марказлар</t>
  </si>
  <si>
    <t xml:space="preserve">Белариқ МФЙ,  Бобур кўчаси,                   24-26-28-уй манзили худуди </t>
  </si>
  <si>
    <t>Реновация            қаватлар сони 30</t>
  </si>
  <si>
    <t xml:space="preserve">Армуғон МФЙ,  Бобур кўчаси, Салар канал бўйи худуди </t>
  </si>
  <si>
    <t xml:space="preserve">Банк, Мехмонхона, Савдо маиший кўп хонадонли турар жой ва бизнес марказлар </t>
  </si>
  <si>
    <t xml:space="preserve">Абдулла Қаҳҳор МФЙ Бобур кўчаси, 63-уй ёнида </t>
  </si>
  <si>
    <t>Реконструкция                         қаватлар сони 7</t>
  </si>
  <si>
    <t>Реконстукция қаватлар сони 48</t>
  </si>
  <si>
    <t xml:space="preserve">Ҳамид Сулаймон МФЙ, Глинка кўчаси манзили худудида   </t>
  </si>
  <si>
    <t>Реконструкция                         қаватлар сони 8</t>
  </si>
  <si>
    <t>Реновация            қаватлар сони 16</t>
  </si>
  <si>
    <t xml:space="preserve"> Қушбеги МФЙ,  Бошлиқ 4-тор кўчаси 10-10а-10б-уй манзилида жойлашган худуд </t>
  </si>
  <si>
    <t>Реновация                            қаватлар сони 9</t>
  </si>
  <si>
    <t xml:space="preserve">Савдо маиший кўп хонадонли турар жой </t>
  </si>
  <si>
    <t>Дилбулоқ МФЙ,  Ш.Руставели кўчасида жойлашган собиқ тўқимачилик стадиони ва Қушбеги худуди</t>
  </si>
  <si>
    <t>Реконструкция                         қаватлар сони 9</t>
  </si>
  <si>
    <t>Реконстукция қаватлар сони 25</t>
  </si>
  <si>
    <t>Йирик савдо маркази, меҳмонхона, кўп қаватли турар жой, Бизнес марказ ва спорт мажмуаси</t>
  </si>
  <si>
    <t>Дамариқ МФЙ,  Нукус, Абдулла Қаххор ва Кичик Бешёғоч кўчалари худуди</t>
  </si>
  <si>
    <t>Реконстукция қаватлар сони 16-25</t>
  </si>
  <si>
    <t>Мухандислар МФЙ худуди</t>
  </si>
  <si>
    <t xml:space="preserve">Дилбулоқ МФЙ,  Ш.Руставели ва Кичик ҳалқа йўли кўчалари оралиғида </t>
  </si>
  <si>
    <t>Реконстукция қаватлар сони 12 ва 25</t>
  </si>
  <si>
    <t xml:space="preserve">Тўқимачи МФЙ, Ш.Руставели, Сафдош ва Боғибўстон кўчалари оралиғи худудида    </t>
  </si>
  <si>
    <t xml:space="preserve"> Конституция МФЙ,  Тафаккур кўчаси 57/2 ва 57/1-уй манзил худуди </t>
  </si>
  <si>
    <t>Реновация            қаватлар сони 9</t>
  </si>
  <si>
    <t xml:space="preserve">Кўп хонадонли турар жой   </t>
  </si>
  <si>
    <t>Дилбулоқ МФЙ,  Ш.Руставели 69А ва 71А уйлар</t>
  </si>
  <si>
    <t xml:space="preserve"> Бобур МФЙ,  Бобур кўчаси 73А-уй </t>
  </si>
  <si>
    <t>Реконстукция қаватлар сони 16</t>
  </si>
  <si>
    <t xml:space="preserve">Шохжахон МФЙ,  Жамшид Шоший, 2-тор кўчаси манзили худуди </t>
  </si>
  <si>
    <t>Реновация            қаватлар сони 13</t>
  </si>
  <si>
    <t xml:space="preserve">Дилбулоқ МФЙ, Қушбеги кўчаси ва Ш.Руставели 1-тор кўчаси, манзилида жойлашган худуд </t>
  </si>
  <si>
    <t>Реконстукция қаватлар сони 23</t>
  </si>
  <si>
    <t xml:space="preserve">Савдо маиший, Мехмонхона, кўп хонадонли турар жой ва бизнес марказлар  </t>
  </si>
  <si>
    <t>Белариқ МФЙ,  Бўрижар ва Баходир кўчаси оралиғида</t>
  </si>
  <si>
    <t>Реновация            қаватлар сони 16-45</t>
  </si>
  <si>
    <t>Савдо маиший кўп хонадонли турар жой ва бизнес марказла</t>
  </si>
  <si>
    <t>Мерос МФЙ,  Чўпонота ва С.Сирожиддинов кўчаси ва бўрижар канал оралиғи</t>
  </si>
  <si>
    <t>Реконструкция                         қаватлар сони 3</t>
  </si>
  <si>
    <t xml:space="preserve">Савдо маиший кўп хонадонли турар жой ва бизнес марказлар  </t>
  </si>
  <si>
    <t>Хамид Сулаймонов МФЙ,  Мингузар ва Миробод кўчалари</t>
  </si>
  <si>
    <t>Реконстукция қаватлар сони 12</t>
  </si>
  <si>
    <t>https://maps.app.goo.gl/Kjnw2owHkWZj8Suk7</t>
  </si>
  <si>
    <t>Конституция МФЙ, Яккасарой туман хокимлиги худуди</t>
  </si>
  <si>
    <t>Реконструкция          
 (4 қават)</t>
  </si>
  <si>
    <t>https://maps.app.goo.gl/Kjnw2owHkWZj8Suk8</t>
  </si>
  <si>
    <t>Хабибий МФЙ</t>
  </si>
  <si>
    <t>Реконструкция
4 қават</t>
  </si>
  <si>
    <t>Ренаватсия 13-қават</t>
  </si>
  <si>
    <t>Бизнес маркази ҳамда кўп қаватли автотураргох ташкил этиш</t>
  </si>
  <si>
    <t xml:space="preserve">Қурувчи МФЙ, </t>
  </si>
  <si>
    <t>Реконструкция
6 қават</t>
  </si>
  <si>
    <t>Кўп квартирали турар жой бинолари хамда хизмат кўрсатиш объектлари (Аукцион)</t>
  </si>
  <si>
    <t>Сергели тумани, Учувчилар МФЙ</t>
  </si>
  <si>
    <t>Давлат-хусусий шериклик шартлари асосида замонавий маҳалла марказлари бинолар.</t>
  </si>
  <si>
    <t>Сергели тумани, Янги Бунёдобод МФЙ</t>
  </si>
  <si>
    <t>Сергели тумани, Софдил МФЙ</t>
  </si>
  <si>
    <t>Сергели тумани, Нўғайқўрғон МФЙ</t>
  </si>
  <si>
    <t>Қутбара МФЙ</t>
  </si>
  <si>
    <t>Ренаватсия 7-қават</t>
  </si>
  <si>
    <t>Хусусий мактаб ташкил этиш</t>
  </si>
  <si>
    <t>https://www.google.com/maps/search/41.229063,+69.207760?entry=tts&amp;g_ep=EgoyMDI1MDUxNS4xIPu8ASoASAFQAw%3D%3D&amp;skid=4074b230-e25a-4bb0-b846-7babbabc791d</t>
  </si>
  <si>
    <t>https://www.google.com/maps/search/41.237315,+69.217584?entry=tts&amp;g_ep=EgoyMDI1MDUxNS4xIPu8ASoASAFQAw%3D%3D&amp;skid=fab35bed-99ea-434a-a9d3-66b1151eaa78</t>
  </si>
  <si>
    <t>https://www.google.com/maps/search/41.245452,+69.227203?entry=tts&amp;g_ep=EgoyMDI1MDUxNS4xIPu8ASoASAFQAw%3D%3D&amp;skid=78209548-3bd0-410c-9f3f-9ef8d9b420f8</t>
  </si>
  <si>
    <t>https://www.google.com/maps/search/41.216902,+69.222211?entry=tts&amp;g_ep=EgoyMDI1MDUxNS4xIPu8ASoASAFQAw%3D%3D&amp;skid=c0cbb7b0-d8d6-4817-8d14-e69045243a2c</t>
  </si>
  <si>
    <t>https://www.google.com/maps/search/41.230846,+69.207945?entry=tts&amp;g_ep=EgoyMDI1MDUxNS4xIPu8ASoASAFQAw%3D%3D&amp;skid=0c1ac33c-5473-471a-87e6-f6c9ea901011</t>
  </si>
  <si>
    <t>https://www.google.com/maps/search/41.269660,+69.280362?entry=tts&amp;g_ep=EgoyMDI1MDUxNS4xIPu8ASoASAFQAw%3D%3D&amp;skid=f451feb0-627f-4227-978c-e3f381537c0d</t>
  </si>
  <si>
    <t>https://www.google.com/maps/search/41.216997,+69.262686?entry=tts&amp;g_ep=EgoyMDI1MDUxNS4xIPu8ASoASAFQAw%3D%3D&amp;skid=314afdfc-b06e-49d6-8115-6768fdf02e76</t>
  </si>
  <si>
    <t>https://www.google.com/maps/search/41.223381,+69.208414?entry=tts&amp;g_ep=EgoyMDI1MDUxNS4xIPu8ASoASAFQAw%3D%3D&amp;skid=ee4ae3dc-6593-4839-bec7-bad493888617</t>
  </si>
  <si>
    <t>https://www.google.com/maps/search/41.275408,+69.227929?coh=219680&amp;utm_campaign=tt-rcs&amp;entry=tts&amp;g_ep=EgoyMDI1MDMwNC4wIPu8ASoASAFQAw%3D%3D</t>
  </si>
  <si>
    <t>https://www.google.com/maps/search/41.294155,+69.240934?coh=219680&amp;utm_campaign=tt-rcs&amp;entry=tts&amp;g_ep=EgoyMDI1MDMwNC4wIPu8ASoASAFQAw%3D%3D</t>
  </si>
  <si>
    <t>https://www.google.com/maps/search/41.270228,+69.243871?entry=tts&amp;g_ep=EgoyMDI1MDEyOS4xIPu8ASoASAFQAw%3D%3D</t>
  </si>
  <si>
    <t>https://www.google.com/maps/search/41.286313,+69.250223?coh=245189&amp;entry=tts&amp;g_ep=EgoyMDI1MDIyMy4xIPu8ASoJLDEwMjExNDU1SAFQAw%3D%3D</t>
  </si>
  <si>
    <t>https://www.google.com/maps/search/41.277735,+69.260669?coh=245189&amp;entry=tts&amp;g_ep=EgoyMDI1MDIyMy4xIPu8ASoJLDEwMjExNDU1SAFQAw%3D%3D</t>
  </si>
  <si>
    <t>https://www.google.com/maps/search/41.273455,+69.240970?coh=219680&amp;utm_campaign=tt-rcs&amp;entry=tts&amp;g_ep=EgoyMDI1MDMwNC4wIPu8ASoASAFQAw%3D%3D</t>
  </si>
  <si>
    <t>https://www.google.com/maps/search/41.292184,+69.258395?entry=tts&amp;g_ep=EgoyMDI1MDEyOS4xIPu8ASoASAFQAw%3D%3D</t>
  </si>
  <si>
    <t>https://www.google.com/maps/search/41.276309,+69.239704?entry=tts&amp;g_ep=EgoyMDI1MDEyOS4xIPu8ASoASAFQAw%3D%3D</t>
  </si>
  <si>
    <t>https://www.google.com/maps/search/41.264546,+69.232882?entry=tts&amp;g_ep=EgoyMDI1MDEyOS4xIPu8ASoASAFQAw%3D%3D</t>
  </si>
  <si>
    <t>https://www.google.ru/maps/search/41.281042,+69.253363?entry=tts&amp;g_ep=EgoyMDI1MDEyOS4xIPu8ASoASAFQAw%3D%3D</t>
  </si>
  <si>
    <t>https://www.google.com/maps/search/41.282470,+69.263041?entry=tts&amp;g_ep=EgoyMDI1MDEyOS4xIPu8ASoASAFQAw%3D%3D</t>
  </si>
  <si>
    <t>https://www.google.com/maps/search/41.274947,+69.243490?coh=245189&amp;entry=tts&amp;g_ep=EgoyMDI1MDIyMy4xIPu8ASoJLDEwMjExNDU1SAFQAw%3D%3D</t>
  </si>
  <si>
    <t>https://www.google.com/maps/search/41.265010,+69.243166?entry=tts&amp;g_ep=EgoyMDI1MDEyOS4xIPu8ASoASAFQAw%3D%3D</t>
  </si>
  <si>
    <t>https://www.google.com/maps/search/41.286721,+69.262272?entry=tts&amp;g_ep=EgoyMDI1MDEyOS4xIPu8ASoASAFQAw%3D%3D</t>
  </si>
  <si>
    <t>https://www.google.ru/maps/search/41.281518,+69.256142?entry=tts&amp;g_ep=EgoyMDI1MDEyOS4xIPu8ASoASAFQAw%3D%3D</t>
  </si>
  <si>
    <t>https://www.google.com/maps/search/41.270538,+69.259304?entry=tts&amp;g_ep=EgoyMDI1MDEyOS4xIPu8ASoASAFQAw%3D%3D</t>
  </si>
  <si>
    <t>https://www.google.com/maps/search/41.290345,+69.250404?entry=tts&amp;g_ep=EgoyMDI1MDEyOS4xIPu8ASoASAFQAw%3D%3D</t>
  </si>
  <si>
    <t>https://www.google.com/maps/search/41.296325,+69.267939?entry=tts&amp;g_ep=EgoyMDI1MDEyOS4xIPu8ASoASAFQAw%3D%3D</t>
  </si>
  <si>
    <t>https://www.google.com/maps/search/41.278489,+69.263438?entry=tts&amp;g_ep=EgoyMDI1MDEyOS4xIPu8ASoASAFQAw%3D%3D</t>
  </si>
  <si>
    <t>https://www.google.ru/maps/search/41.276592,+69.251571?entry=tts&amp;g_ep=EgoyMDI1MDEyOS4xIPu8ASoASAFQAw%3D%3D</t>
  </si>
  <si>
    <t>https://www.google.com/maps/place/Chocolate+Askiya+bazar/@41.284046,69.2497075,759m/data=!3m1!1e3!4m6!3m5!1s0x38ae8bf2da92fee7:0x30cda53bbaf3c0ee!8m2!3d41.2848154!4d69.2504208!16s%2Fg%2F11kp_1yw1k?entry=ttu&amp;g_ep=EgoyMDI1MDUyMS4wIKXMDSoASAFQAw%3D%3D</t>
  </si>
  <si>
    <t>https://www.google.com/maps/search/41.278802,+69.153596?entry=tts&amp;g_ep=EgoyMDI1MDIwMy4wIPu8ASoASAFQAw%3D%3D</t>
  </si>
  <si>
    <t>https://www.google.com/maps/search/41.269577,+69.127238?entry=tts&amp;g_ep=EgoyMDI1MDIwMi4wIPu8ASoASAFQAw%3D%3D</t>
  </si>
  <si>
    <t>https://www.google.com/maps/search/41.284468,+69.147912?entry=tts&amp;g_ep=EgoyMDI1MDIwMi4wIPu8ASoASAFQAw%3D%3D</t>
  </si>
  <si>
    <t>https://www.google.com/maps/search/41.292772,+69.149254?entry=tts&amp;g_ep=EgoyMDI1MDIwMi4wIPu8ASoASAFQAw%3D%3D</t>
  </si>
  <si>
    <t>https://www.google.com/maps/search/41.292207,+69.144934?entry=tts&amp;g_ep=EgoyMDI1MDIwMi4wIPu8ASoASAFQAw%3D%3D</t>
  </si>
  <si>
    <t>https://www.google.com/maps/search/41.292077,+69.143401?entry=tts&amp;g_ep=EgoyMDI1MDIwMi4wIPu8ASoASAFQAw%3D%3D</t>
  </si>
  <si>
    <t>https://www.google.com/maps/search/41.298924,+69.146366?entry=tts&amp;g_ep=EgoyMDI1MDIwMi4wIPu8ASoASAFQAw%3D%3D</t>
  </si>
  <si>
    <t>https://www.google.com/maps/search/41.307579,+69.158599?entry=tts&amp;g_ep=EgoyMDI1MDIwMy4wIPu8ASoASAFQAw%3D%3D</t>
  </si>
  <si>
    <t>https://www.google.com/maps/search/41.313510,+69.152269?entry=tts&amp;g_ep=EgoyMDI1MDMwMi4wIPu8ASoASAFQAw%3D%3D</t>
  </si>
  <si>
    <t>https://www.google.com/maps/place/41%C2%B017'56.1%22N+69%C2%B008'46.9%22E/@41.298924,69.146366,759m/data=!3m2!1e3!4b1!4m4!3m3!8m2!3d41.298924!4d69.146366?entry=ttu&amp;g_ep=EgoyMDI1MDUyMS4wIKXMDSoASAFQAw%3D%3D</t>
  </si>
  <si>
    <t>https://www.google.com/maps/search/41.315693,+69.190154?entry=tts&amp;g_ep=EgoyMDI1MDIwMi4wIPu8ASoASAFQAw%3D%3D</t>
  </si>
  <si>
    <t>https://www.google.com/maps/search/41.304628,+69.190394?entry=tts&amp;g_ep=EgoyMDI1MDUyMS4wIPu8ASoASAFQAw%3D%3D&amp;skid=47f0978d-dbcc-40a9-b3c2-7c95d13aa3fd</t>
  </si>
  <si>
    <t>https://www.google.com/maps/search/41.312608,+69.185575?entry=tts&amp;g_ep=EgoyMDI1MDIwMi4wIPu8ASoASAFQAw%3D%3D</t>
  </si>
  <si>
    <t>https://www.google.com/maps/search/41.301549,+69.179874?entry=tts&amp;g_ep=EgoyMDI1MDIwMi4wIPu8ASoASAFQAw%3D%3D</t>
  </si>
  <si>
    <t>https://www.google.com/maps/search/41.299070,+69.176789?entry=tts&amp;g_ep=EgoyMDI1MDIwMi4wIPu8ASoASAFQAw%3D%3D</t>
  </si>
  <si>
    <t>https://www.google.com/maps/search/41.297191,+69.174263?entry=tts&amp;g_ep=EgoyMDI1MDIwMi4wIPu8ASoASAFQAw%3D%3D</t>
  </si>
  <si>
    <t>https://www.google.com/maps/search/41.300662,+69.189334?entry=tts&amp;g_ep=EgoyMDI1MDIwMi4wIPu8ASoASAFQAw%3D%3D</t>
  </si>
  <si>
    <t>https://www.google.com/maps/search/41.294160,+69.174655?entry=tts&amp;g_ep=EgoyMDI1MDIwMi4wIPu8ASoASAFQAw%3D%3D</t>
  </si>
  <si>
    <t>https://www.google.com/maps/search/41.292356,+69.168292?entry=tts&amp;g_ep=EgoyMDI1MDIwMi4wIPu8ASoASAFQAw%3D%3D</t>
  </si>
  <si>
    <t>https://www.google.com/maps/place/Donella-Uchtepa/@41.2916696,69.1790679,544m/data=!3m1!1e3!4m6!3m5!1s0x38ae891924b33a2b:0xf0fda55ae288fedd!8m2!3d41.2916696!4d69.180599!16s%2Fg%2F11rhf6x4x1?entry=tts&amp;g_ep=EgoyMDI1MDIwMi4wIPu8ASoASAFQAw%3D%3D</t>
  </si>
  <si>
    <t>https://www.google.com/maps/search/41.289306,+69.186435?entry=tts&amp;g_ep=EgoyMDI1MDIwMi4wIPu8ASoASAFQAw%3D%3D</t>
  </si>
  <si>
    <t>https://www.google.com/maps/place/41%C2%B017'06.1%22N+69%C2%B011'21.9%22E/@41.285013,69.189423,759m/data=!3m2!1e3!4b1!4m4!3m3!8m2!3d41.285013!4d69.189423?entry=ttu&amp;g_ep=EgoyMDI1MDUyMS4wIKXMDSoASAFQAw%3D%3D</t>
  </si>
  <si>
    <t>https://www.google.com/maps/search/41.283571,+69.191866?entry=tts&amp;g_ep=EgoyMDI1MDIwMi4wIPu8ASoASAFQAw%3D%3D</t>
  </si>
  <si>
    <t>https://www.google.com/maps/search/41.284651,+69.175956?entry=tts&amp;g_ep=EgoyMDI1MDIwMi4wIPu8ASoASAFQAw%3D%3D</t>
  </si>
  <si>
    <t>https://www.google.com/maps/search/41.284779,+69.169151?entry=tts&amp;g_ep=EgoyMDI1MDIwMi4wIPu8ASoASAFQAw%3D%3D</t>
  </si>
  <si>
    <t>https://www.google.com/maps/search/41.279088,+69.168049?entry=tts&amp;g_ep=EgoyMDI1MDMwMi4wIPu8ASoASAFQAw%3D%3D</t>
  </si>
  <si>
    <t>https://www.google.com/maps/place/41%C2%B016'37.9%22N+69%C2%B010'17.3%22E/@41.2769477,69.1708672,272m/data=!3m1!1e3!4m4!3m3!8m2!3d41.277183!4d69.171471?entry=tts&amp;g_ep=EgoyMDI1MDIwMi4wIPu8ASoASAFQAw%3D%3D</t>
  </si>
  <si>
    <t>https://www.google.com/maps/search/41.277258,+69.171398?entry=tts&amp;g_ep=EgoyMDI1MDIwMi4wIPu8ASoASAFQAw%3D%3D</t>
  </si>
  <si>
    <t>https://www.google.com/maps/search/41.275634,+69.171550?coh=219680&amp;utm_campaign=tt-rcs&amp;entry=tts&amp;g_ep=EgoyMDI1MDIwMi4wIPu8ASoASAFQAw%3D%3D</t>
  </si>
  <si>
    <t>https://www.google.com/maps/place/Zdaniye+Byvshego+Kafe+%22Moskva%22,+Lutfi+Street,+100131,+Tashkent,+Uzbekistan/@41.2782853,69.1776272,114m/data=!3m1!1e3!4m6!3m5!1s0x38ae899a809c1ff9:0xb28823a92cfe43fb!8m2!3d41.2782931!4d69.1775372!16s%2Fg%2F12hnnvnch?entry=tts&amp;g_ep=EgoyMDI1MDIwMi4wIPu8ASoASAFQAw%3D%3D</t>
  </si>
  <si>
    <t>https://www.google.com/maps/search/41.277058,+69.182994?entry=tts&amp;g_ep=EgoyMDI1MDIwMi4wIPu8ASoASAFQAw%3D%3D</t>
  </si>
  <si>
    <t>https://www.google.com/maps/place/Kabul+Tekstil',+Katta+Khirmontepa+Street,+Tashkent,+Uzbekistan/@41.2722723,69.1773665,272m/data=!3m1!1e3!4m6!3m5!1s0x38ae899234dcf5df:0x5f964c4d8627ea89!8m2!3d41.2722784!4d69.1775721!16s%2Fg%2F11mgq8fk13?entry=tts&amp;g_ep=EgoyMDI1MDIwMi4wIPu8ASoASAFQAw%3D%3D</t>
  </si>
  <si>
    <t>https://www.google.com/maps/search/41.335962,+69.213339?entry=tts&amp;g_ep=EgoyMDI1MDUxMy4xIPu8ASoASAFQAw%3D%3D&amp;skid=3f20e1c3-cefb-468a-8979-5bf255d83617</t>
  </si>
  <si>
    <t>https://www.google.com/maps/search/41.339559,+69.230073?entry=tts&amp;g_ep=EgoyMDI1MDUxMy4xIPu8ASoASAFQAw%3D%3D&amp;skid=d112976b-9e25-469d-97b9-28eb6e6e66f8</t>
  </si>
  <si>
    <t>https://www.google.com/maps/search/41.345007,+69.240316?entry=tts&amp;g_ep=EgoyMDI1MDUxMy4xIPu8ASoASAFQAw%3D%3D&amp;skid=c16df43c-bbbf-41a5-8856-95d560254a54</t>
  </si>
  <si>
    <t>https://www.google.com/maps/search/41.346967,+69.203887?entry=tts&amp;g_ep=EgoyMDI1MDMwNC4wIPu8ASoASAFQAw%3D%3D</t>
  </si>
  <si>
    <t>https://www.google.com/maps/search/41.334926,+69.219761?entry=tts&amp;g_ep=EgoyMDI1MDMwNC4wIPu8ASoASAFQAw%3D%3D</t>
  </si>
  <si>
    <t>https://www.google.com/maps/place/%D1%83%D0%BB%D0%B8%D1%86%D0%B0+%D0%9A%D0%B0%D1%80%D0%B0%D1%81%D0%B0%D1%80%D0%B0%D0%B9+269,+100069,+%D0%A2%D0%B0%D1%88%D0%BA%D0%B5%D0%BD%D1%82,+Tashkent,+%D0%A3%D0%B7%D0%B1%D0%B5%D0%BA%D0%B8%D1%81%D1%82%D0%B0%D0%BD/@41.3503621,69.2416972,285m/data=!3m1!1e3!4m6!3m5!1s0x38ae8c89c90396c7:0x7369b3dab7a4c890!8m2!3d41.3506384!4d69.2413786!16s%2Fg%2F11y3m9_nwj?entry=tts&amp;g_ep=EgoyMDI1MDMwNC4wIPu8ASoASAFQAw%3D%3D</t>
  </si>
  <si>
    <t>https://www.google.com/maps/search/41.359644,+69.238416?entry=tts&amp;g_ep=EgoyMDI1MDMwNC4wIPu8ASoASAFQAw%3D%3D</t>
  </si>
  <si>
    <t>https://www.google.com/maps/search/41.357242,+69.207443?entry=tts&amp;g_ep=EgoyMDI1MDMwNC4wIPu8ASoASAFQAw%3D%3D</t>
  </si>
  <si>
    <t>https://www.google.com/maps/search/41.342195,+69.231119?entry=tts&amp;g_ep=EgoyMDI1MDMwNC4wIPu8ASoASAFQAw%3D%3D</t>
  </si>
  <si>
    <t>https://www.google.com/maps/search/41.356685,+69.206254?entry=tts&amp;g_ep=EgoyMDI1MDMwNC4wIPu8ASoASAFQAw%3D%3D</t>
  </si>
  <si>
    <t>https://www.google.com/maps/search/41.348977,+69.226941?entry=tts&amp;g_ep=EgoyMDI1MDMwNC4wIPu8ASoASAFQAw%3D%3D</t>
  </si>
  <si>
    <t>https://www.google.com/maps/search/41.353978,+69.232589?entry=tts&amp;g_ep=EgoyMDI1MDMwNC4wIPu8ASoASAFQAw%3D%3D</t>
  </si>
  <si>
    <t>https://www.google.com/maps/search/41.356395,+69.216911?entry=tts&amp;g_ep=EgoyMDI1MDMwNC4wIPu8ASoASAFQAw%3D%3D</t>
  </si>
  <si>
    <t>https://www.google.com/maps/search/41.371255,+69.248514?entry=tts&amp;g_ep=EgoyMDI1MDMwNC4wIPu8ASoASAFQAw%3D%3D</t>
  </si>
  <si>
    <t>https://www.google.com/maps/search/41.366573,+69.193699?entry=tts&amp;g_ep=EgoyMDI1MDMwNC4wIPu8ASoASAFQAw%3D%3D</t>
  </si>
  <si>
    <t>https://www.google.com/maps/search/41.331210,+69.233893?entry=tts&amp;g_ep=EgoyMDI1MDMwNC4wIPu8ASoASAFQAw%3D%3D</t>
  </si>
  <si>
    <t>https://www.google.com/maps/search/41.340100,+69.249743?entry=tts&amp;g_ep=EgoyMDI1MDMwNC4wIPu8ASoASAFQAw%3D%3D</t>
  </si>
  <si>
    <t>https://www.google.by/maps/search/41.348424,+69.232097?coh=219680&amp;utm_campaign=tt-rcs&amp;entry=tts&amp;g_ep=EgoyMDI1MDEyOS4xIPu8ASoASAFQAw%3D%3D</t>
  </si>
  <si>
    <t>https://www.google.by/maps/search/41.341125,+69.252806?coh=219680&amp;utm_campaign=tt-rcs&amp;entry=tts&amp;g_ep=EgoyMDI1MDEyOS4xIPu8ASoASAFQAw%3D%3D</t>
  </si>
  <si>
    <t>https://www.google.by/maps/search/41.348710,+69.261274?coh=219680&amp;utm_campaign=tt-rcs&amp;entry=tts&amp;g_ep=EgoyMDI1MDEyOS4xIPu8ASoASAFQAw%3D%3D</t>
  </si>
  <si>
    <t>https://www.google.by/maps/search/41.351040,+69.260517?coh=219680&amp;utm_campaign=tt-rcs&amp;entry=tts&amp;g_ep=EgoyMDI1MDEyOS4xIPu8ASoASAFQAw%3D%3D</t>
  </si>
  <si>
    <t>https://www.google.by/maps/search/41.348389,+69.263994?coh=219680&amp;utm_campaign=tt-rcs&amp;entry=tts&amp;g_ep=EgoyMDI1MDEyOS4xIPu8ASoASAFQAw%3D%3D</t>
  </si>
  <si>
    <t>https://www.google.by/maps/search/41.344331,+69.243589?coh=219680&amp;utm_campaign=tt-rcs&amp;entry=tts&amp;g_ep=EgoyMDI1MDEyOS4xIPu8ASoASAFQAw%3D%3D</t>
  </si>
  <si>
    <t>https://www.google.by/maps/search/41.346054,+69.244121?coh=219680&amp;utm_campaign=tt-rcs&amp;entry=tts&amp;g_ep=EgoyMDI1MDEyOS4xIPu8ASoASAFQAw%3D%3D</t>
  </si>
  <si>
    <t>https://www.google.by/maps/search/41.350672,+69.228398?coh=219680&amp;utm_campaign=tt-rcs&amp;entry=tts&amp;g_ep=EgoyMDI1MDEyOS4xIPu8ASoASAFQAw%3D%3D</t>
  </si>
  <si>
    <t>https://www.google.com/maps/search/41.327526,+69.318569?entry=tts&amp;g_ep=EgoyMDI1MDUxNS4xIPu8ASoASAFQAw%3D%3D&amp;skid=3e4c6155-9fd9-47b1-b6ad-9e25aa04d5c0</t>
  </si>
  <si>
    <t>https://www.google.com/maps/search/41.340613,+69.337441?entry=tts&amp;g_ep=EgoyMDI1MDUxMy4xIPu8ASoASAFQAw%3D%3D&amp;skid=fbcafd96-a6a5-4b3c-80fd-d2931bd83d7d</t>
  </si>
  <si>
    <t>https://www.google.com/maps/search/41.313467,+69.281626?entry=tts&amp;g_ep=EgoyMDI1MDUxMy4xIPu8ASoASAFQAw%3D%3D&amp;skid=6203ad63-b76b-4363-b86a-4ae9601f2dcc</t>
  </si>
  <si>
    <t>https://www.google.com/maps/search/41.315566,+69.327283?entry=tts&amp;g_ep=EgoyMDI1MDUxMy4xIPu8ASoASAFQAw%3D%3D&amp;skid=e6b9e9f3-08f2-42fd-acb6-4b24f2f7d0ad</t>
  </si>
  <si>
    <t>https://www.google.com/maps/search/41.346516,+69.360300?entry=tts&amp;g_ep=EgoyMDI1MDUxMi4wIPu8ASoASAFQAw%3D%3D&amp;skid=14be9b4f-90f3-4647-9d9a-9f30401492f3</t>
  </si>
  <si>
    <t>https://www.google.com/maps/search/41.316191,+69.296649?entry=tts&amp;g_ep=EgoyMDI1MDUxMi4wIPu8ASoASAFQAw%3D%3D&amp;skid=6120b460-8f1a-4593-9668-6522f471a307</t>
  </si>
  <si>
    <t>https://www.google.com/maps/search/41.349813,+69.336488?entry=tts&amp;g_ep=EgoyMDI1MDUxMi4wIPu8ASoASAFQAw%3D%3D&amp;skid=03672725-218c-4f32-a298-fbfbb687d17b</t>
  </si>
  <si>
    <t>https://www.google.com/maps/search/41.348968,+69.328601?entry=tts&amp;g_ep=EgoyMDI1MDUxMi4wIPu8ASoASAFQAw%3D%3D&amp;skid=10d3fe46-5c47-452e-a13f-11b6720f9d6b</t>
  </si>
  <si>
    <t>https://www.google.com/maps/search/41.335705,+69.304592?entry=tts&amp;g_ep=EgoyMDI1MDUxMi4wIPu8ASoASAFQAw%3D%3D&amp;skid=30a521c9-7bba-4be0-9425-c9128a36d982</t>
  </si>
  <si>
    <t>https://www.google.com/maps/search/41.334179,+69.317466?entry=tts&amp;g_ep=EgoyMDI1MDUxMi4wIPu8ASoASAFQAw%3D%3D&amp;skid=905743ea-7fbc-42a8-85aa-9f25604ef3cf</t>
  </si>
  <si>
    <t>https://www.google.com/maps/search/41.339152,+69.335354?entry=tts&amp;g_ep=EgoyMDI1MDUxMi4wIPu8ASoASAFQAw%3D%3D&amp;skid=065b4451-fcb0-429a-a521-db1cedd39eec</t>
  </si>
  <si>
    <t>https://www.google.com/maps/search/41.337587,+69.333595?entry=tts&amp;g_ep=EgoyMDI1MDUxMi4wIPu8ASoASAFQAw%3D%3D&amp;skid=89339f8d-fb0c-4b40-bb12-20ec9dbf9864</t>
  </si>
  <si>
    <t>https://www.google.com/maps/search/41.363890,+69.387307?entry=tts&amp;g_ep=EgoyMDI1MDQxNC4xIPu8ASoASAFQAw%3D%3D&amp;skid=96c8bf26-fa8d-4d06-b6d7-93a25fbbb0d3</t>
  </si>
  <si>
    <t>https://www.google.com/maps/search/41.365494,+69.392479?entry=tts&amp;g_ep=EgoyMDI1MDQxNC4xIPu8ASoASAFQAw%3D%3D&amp;skid=619706ea-12ea-4edd-9037-6617642c9e4e</t>
  </si>
  <si>
    <t>https://www.google.com/maps/search/41.333732,+69.323556?entry=tts&amp;g_ep=EgoyMDI1MDQxNC4xIPu8ASoASAFQAw%3D%3D&amp;skid=8f102786-5466-4e16-929b-04724c3a0193</t>
  </si>
  <si>
    <t>https://www.google.com/maps/search/41.316582,+69.327741?entry=tts&amp;g_ep=EgoyMDI1MDQxNC4xIPu8ASoASAFQAw%3D%3D&amp;skid=99f98dd2-78f4-4768-822d-a7709e7fdceb</t>
  </si>
  <si>
    <t>https://www.google.com/maps/search/41.316842,+69.328446?entry=tts&amp;g_ep=EgoyMDI1MDQxNC4xIPu8ASoASAFQAw%3D%3D&amp;skid=70ce5295-a2eb-4ae3-a5d8-c1f9b6a687f8</t>
  </si>
  <si>
    <t>https://www.google.com/maps/search/41.331763,+69.447530?entry=tts&amp;g_ep=EgoyMDI1MDQxNC4xIPu8ASoASAFQAw%3D%3D&amp;skid=202c8bb2-d73c-40b1-a3f0-4138684cfc37</t>
  </si>
  <si>
    <t>https://www.google.com/maps/search/41.331235,+69.341074?entry=tts&amp;g_ep=EgoyMDI1MDQxNC4xIPu8ASoASAFQAw%3D%3D&amp;skid=1cef7011-11e8-4ac3-bb3d-6c64719be5b2</t>
  </si>
  <si>
    <t>https://www.google.com/maps/search/41.333619,+69.374224?entry=tts&amp;g_ep=EgoyMDI1MDQxNC4xIPu8ASoASAFQAw%3D%3D&amp;skid=5f84e9b9-9a74-4e30-81f3-90a8fc580b49</t>
  </si>
  <si>
    <t>https://www.google.com/maps/search/41.334533,+69.344005?entry=tts&amp;g_ep=EgoyMDI1MDQxNC4xIPu8ASoASAFQAw%3D%3D&amp;skid=b02be923-6a62-439c-be75-9230f45bdc0c</t>
  </si>
  <si>
    <t>https://www.google.com/maps/search/41.330885,+69.422407?entry=tts&amp;g_ep=EgoyMDI1MDQxNC4xIPu8ASoASAFQAw%3D%3D&amp;skid=791ed8d9-e0c0-45a2-9bc1-3fa52c645d57</t>
  </si>
  <si>
    <t>https://www.google.com/maps/search/41.333567,+69.440830?entry=tts&amp;g_ep=EgoyMDI1MDQxNC4xIPu8ASoASAFQAw%3D%3D&amp;skid=d2215e57-1dfe-48fc-ab54-70a5270f4d50</t>
  </si>
  <si>
    <t>https://www.google.com/maps/search/41.325692,+69.299179?entry=tts&amp;g_ep=EgoyMDI1MDQxNC4xIPu8ASoASAFQAw%3D%3D&amp;skid=5a64956b-1d36-44af-9684-5977fa66b1d5</t>
  </si>
  <si>
    <t>https://www.google.com/maps/search/41.322600,+69.298549?entry=tts&amp;g_ep=EgoyMDI1MDQxNC4xIPu8ASoASAFQAw%3D%3D&amp;skid=430b05bd-e82b-4c92-bd41-7df9b17c8ab6</t>
  </si>
  <si>
    <t>https://www.google.com/maps/search/41.349754,+69.349013?entry=tts&amp;g_ep=EgoyMDI1MDQxNC4xIPu8ASoASAFQAw%3D%3D&amp;skid=6a7f2a57-8efa-4909-a9b9-00bc34b2f408</t>
  </si>
  <si>
    <t>https://www.google.com/maps/search/41.324590,+69.316965?entry=tts&amp;g_ep=EgoyMDI1MDQxNC4xIPu8ASoASAFQAw%3D%3D&amp;skid=0c14115c-2fd7-4929-a4bf-abe8a19b8000</t>
  </si>
  <si>
    <t>https://www.google.com/maps/search/41.316809,+69.318839?entry=tts&amp;g_ep=EgoyMDI1MDQxNC4xIPu8ASoASAFQAw%3D%3D&amp;skid=56667028-38b9-4cae-a491-b51fe9cc2c12</t>
  </si>
  <si>
    <t>https://www.google.com/maps/search/41.323780,+69.444473?entry=tts&amp;g_ep=EgoyMDI1MDMyNS4xIPu8ASoASAFQAw%3D%3D&amp;skid=43f723cd-63c9-4c22-b7b4-01421b36bee9</t>
  </si>
  <si>
    <t>https://www.google.com/maps/search/41.321904,+69.357099?entry=tts&amp;g_ep=EgoyMDI1MDMyNS4xIPu8ASoASAFQAw%3D%3D&amp;skid=e1d4a0df-f113-4d48-a344-c43e04eef738</t>
  </si>
  <si>
    <t>https://www.google.com/maps/search/41.349075,+69.371348?entry=tts&amp;g_ep=EgoyMDI1MDMyNS4xIPu8ASoASAFQAw%3D%3D&amp;skid=efe39d8c-d645-4284-bd7a-66cfc4e1fa6d</t>
  </si>
  <si>
    <t>https://www.google.com/maps/search/41.314867,+69.336533?entry=tts&amp;g_ep=EgoyMDI1MDMyNS4xIPu8ASoASAFQAw%3D%3D&amp;skid=dddb82d7-32d1-4d17-87fd-0109080b0c37</t>
  </si>
  <si>
    <t>https://www.google.com/maps/search/41.328064,+69.303044?entry=tts&amp;g_ep=EgoyMDI1MDMyNS4xIPu8ASoASAFQAw%3D%3D&amp;skid=87fbc2ad-b872-4ca1-9443-a6b909abe510</t>
  </si>
  <si>
    <t>https://www.google.com/maps/search/41.329872,+69.306397?entry=tts&amp;g_ep=EgoyMDI1MDMyNS4xIPu8ASoASAFQAw%3D%3D&amp;skid=624db554-1308-4e1a-9623-56c88b650146</t>
  </si>
  <si>
    <t>https://www.google.com/maps/search/41.337391,+69.308637?entry=tts&amp;g_ep=EgoyMDI1MDMyNS4xIPu8ASoASAFQAw%3D%3D&amp;skid=4a5e764d-ba63-466b-930f-c459b184297f</t>
  </si>
  <si>
    <t>https://www.google.com/maps/search/41.337987,+69.319889?entry=tts&amp;g_ep=EgoyMDI1MDMyNS4xIPu8ASoASAFQAw%3D%3D&amp;skid=2ba1ba35-652c-4bed-a0d1-87b186ae55d1</t>
  </si>
  <si>
    <t>https://www.google.com/maps/search/41.343541,+69.334866?entry=tts&amp;g_ep=EgoyMDI1MDMyNS4xIPu8ASoASAFQAw%3D%3D&amp;skid=ea312aec-20d1-4922-b693-5f24bde04744</t>
  </si>
  <si>
    <t>https://www.google.com/maps/search/41.343012,+69.330275?entry=tts&amp;g_ep=EgoyMDI1MDMyNS4xIPu8ASoASAFQAw%3D%3D&amp;skid=32155586-8fa9-46e5-b427-5fc0ed7bedaa</t>
  </si>
  <si>
    <t>https://www.google.com/maps/search/41.345348,+69.338211?entry=tts&amp;g_ep=EgoyMDI1MDMyNS4xIPu8ASoASAFQAw%3D%3D&amp;skid=8c98a6ff-1f23-40d2-b79f-086f81aef8a5</t>
  </si>
  <si>
    <t>https://www.google.com/maps/search/41.347621,+69.334281?entry=tts&amp;g_ep=EgoyMDI1MDMyNS4xIPu8ASoASAFQAw%3D%3D&amp;skid=655dda67-feb4-49ee-843c-9641f07e20a7</t>
  </si>
  <si>
    <t>https://www.google.com/maps/search/41.320434,+69.327675?entry=tts&amp;g_ep=EgoyMDI1MDMyNS4xIPu8ASoASAFQAw%3D%3D&amp;skid=d409cfed-07c0-43b0-927f-6672829675aa</t>
  </si>
  <si>
    <t>https://www.google.com/maps/search/41.323531,+69.325085?entry=tts&amp;g_ep=EgoyMDI1MDMyNS4xIPu8ASoASAFQAw%3D%3D&amp;skid=7c092eff-a79f-4b50-b447-664485df78e7</t>
  </si>
  <si>
    <t>https://www.google.com/maps/search/41.328840,+69.326633?entry=tts&amp;g_ep=EgoyMDI1MDMyNS4xIPu8ASoASAFQAw%3D%3D&amp;skid=f97f14ac-922f-4469-838e-f06444729105</t>
  </si>
  <si>
    <t>https://www.google.com/maps/search/41.320654,+69.245215?entry=tts&amp;g_ep=EgoyMDI1MDUxMy4xIPu8ASoASAFQAw%3D%3D&amp;skid=60b5a126-8763-4228-8c05-34c15e8b3aaf</t>
  </si>
  <si>
    <t>https://www.google.com/maps/search/41.328390,+69.191997?entry=tts&amp;g_ep=EgoyMDI1MDIwMi4wIPu8ASoJLDEwMjExMjM0SAFQAw%3D%3D</t>
  </si>
  <si>
    <t>https://www.google.com/maps/search/41.337794,+69.260889?entry=tts&amp;g_ep=EgoyMDI1MDIwMi4wIPu8ASoJLDEwMjExMjM0SAFQAw%3D%3D</t>
  </si>
  <si>
    <t>https://www.google.com/maps/search/41.326579,+69.243046?entry=tts&amp;g_ep=EgoyMDI1MDIwMi4wIPu8ASoJLDEwMjExMjM0SAFQAw%3D%3D</t>
  </si>
  <si>
    <t>https://www.google.com/maps/search/41.322886,+69.229040?entry=tts&amp;g_ep=EgoyMDI1MDIwMi4wIPu8ASoJLDEwMjExMjM0SAFQAw%3D%3D</t>
  </si>
  <si>
    <t>https://www.google.com/maps/place/41%C2%B018'27.3%22N+69%C2%B013'04.9%22E/@41.307578,69.21804,759m/data=!3m2!1e3!4b1!4m4!3m3!8m2!3d41.307578!4d69.21804?entry=ttu&amp;g_ep=EgoyMDI1MDUyMS4wIKXMDSoASAFQAw%3D%3D</t>
  </si>
  <si>
    <t>https://www.google.com/maps/search/41.304271,+69.205559?entry=tts&amp;g_ep=EgoyMDI1MDIwMi4wIPu8ASoJLDEwMjExMjM0SAFQAw%3D%3D</t>
  </si>
  <si>
    <t>https://www.google.com/maps/search/41.309419,+69.201735?entry=tts&amp;g_ep=EgoyMDI1MDIwMi4wIPu8ASoJLDEwMjExMjM0SAFQAw%3D%3D</t>
  </si>
  <si>
    <t>https://www.google.com/maps/search/41.328409,+69.263004?entry=tts&amp;g_ep=EgoyMDI1MDIwMi4wIPu8ASoJLDEwMjExMjM0SAFQAw%3D%3D</t>
  </si>
  <si>
    <t>https://www.google.com/maps/search/41.337175,+69.270121?entry=tts&amp;g_ep=EgoyMDI1MDIwMi4wIPu8ASoASAFQAw%3D%3D</t>
  </si>
  <si>
    <t>https://www.google.ru/maps/search/41.339518,+69.263954?entry=tts&amp;g_ep=EgoyMDI1MDUxNS4xIPu8ASoASAFQAw%3D%3D&amp;skid=7203ede9-02cb-47f9-b645-01ba1b791f11</t>
  </si>
  <si>
    <t>https://www.google.com/maps/search/41.315120,+69.238671?entry=tts&amp;g_ep=EgoyMDI1MDIwMi4wIPu8ASoASAFQAw%3D%3D</t>
  </si>
  <si>
    <t>https://www.google.com/maps/search/41.333995,+69.259040?entry=tts&amp;g_ep=EgoyMDI1MDUxMy4xIPu8ASoASAFQAw%3D%3D&amp;skid=8cb4f20d-d061-4480-b977-25878ab3eed5</t>
  </si>
  <si>
    <t>https://www.google.com/maps/search/41.327291,+69.237236?entry=tts&amp;g_ep=EgoyMDI1MDUxMy4xIPu8ASoASAFQAw%3D%3D&amp;skid=a4a43093-2cbb-4cb9-b1ab-580521cd7877</t>
  </si>
  <si>
    <t>https://www.google.com/maps/search/41.315390,+69.239699?entry=tts&amp;g_ep=EgoyMDI1MDUxMy4xIPu8ASoASAFQAw%3D%3D&amp;skid=1619e4ba-885c-4808-875e-6eca8c9bf410</t>
  </si>
  <si>
    <t>https://www.google.com/maps/search/41.301870,+69.231813?entry=tts&amp;g_ep=EgoyMDI1MDIwMi4wIPu8ASoASAFQAw%3D%3D</t>
  </si>
  <si>
    <t>https://www.google.com/maps/search/41.304525,+69.207371?entry=tts&amp;g_ep=EgoyMDI1MDIwMi4wIPu8ASoASAFQAw%3D%3D</t>
  </si>
  <si>
    <t>https://www.google.com/maps/search/41.312985,+69.219430?entry=tts&amp;g_ep=EgoyMDI1MDUxMy4xIPu8ASoASAFQAw%3D%3D&amp;skid=df123345-a54e-472c-b216-829ef03a9bae</t>
  </si>
  <si>
    <t>https://www.google.com/maps/search/41.325099,+69.214227?entry=tts&amp;g_ep=EgoyMDI1MDIwMi4wIPu8ASoASAFQAw%3D%3D</t>
  </si>
  <si>
    <t>https://www.google.com/maps/search/41.329600,+69.201249?entry=tts&amp;g_ep=EgoyMDI1MDIwMi4wIPu8ASoASAFQAw%3D%3D</t>
  </si>
  <si>
    <t>https://www.google.com/maps/search/41.331788,+69.164617?entry=tts&amp;g_ep=EgoyMDI1MDIwMi4wIPu8ASoASAFQAw%3D%3D</t>
  </si>
  <si>
    <t>https://www.google.com/maps/search/41.340444,+69.173750?entry=tts&amp;g_ep=EgoyMDI1MDEyOS4xIPu8ASoASAFQAw%3D%3D</t>
  </si>
  <si>
    <t>https://www.google.com/maps/search/41.329919,+69.194148?entry=tts&amp;g_ep=EgoyMDI1MDEyOS4xIPu8ASoASAFQAw%3D%3D</t>
  </si>
  <si>
    <t>https://www.google.com/maps/search/41.333525,+69.189547?entry=tts&amp;g_ep=EgoyMDI1MDEyOS4xIPu8ASoASAFQAw%3D%3D</t>
  </si>
  <si>
    <t>https://www.google.com/maps/search/41.303112,+69.216069?entry=tts&amp;g_ep=EgoyMDI1MDEyOS4xIPu8ASoASAFQAw%3D%3D</t>
  </si>
  <si>
    <t>https://www.google.com/maps/search/41.306166,+69.211776?entry=tts&amp;g_ep=EgoyMDI1MDEyOS4xIPu8ASoASAFQAw%3D%3D</t>
  </si>
  <si>
    <t>https://www.google.com/maps/search/41.334361,+69.205424?entry=tts&amp;g_ep=EgoyMDI1MDEyOS4xIPu8ASoASAFQAw%3D%3D</t>
  </si>
  <si>
    <t>https://www.google.com/maps/search/41.339277,+69.180479?entry=tts&amp;g_ep=EgoyMDI1MDEyOS4xIPu8ASoASAFQAw%3D%3D</t>
  </si>
  <si>
    <t>https://www.google.com/maps/search/41.333503,+69.169441?entry=tts&amp;g_ep=EgoyMDI1MDEyOS4xIPu8ASoASAFQAw%3D%3D</t>
  </si>
  <si>
    <t>https://www.google.com/maps/search/41.338668,+69.171459?entry=tts&amp;g_ep=EgoyMDI1MDEyOS4xIPu8ASoASAFQAw%3D%3D</t>
  </si>
  <si>
    <t>https://www.google.com/maps/search/41.341507,+69.168893?entry=tts&amp;g_ep=EgoyMDI1MDEyOS4xIPu8ASoASAFQAw%3D%3D</t>
  </si>
  <si>
    <t>https://www.google.com/maps/search/41.312493,+69.211197?entry=tts&amp;g_ep=EgoyMDI1MDEyOS4xIPu8ASoASAFQAw%3D%3D</t>
  </si>
  <si>
    <t>https://www.google.ru/maps/search/41.314099,+69.251369?entry=tts&amp;g_ep=EgoyMDI1MDUxNS4xIPu8ASoASAFQAw%3D%3D&amp;skid=66cdfe4c-3b3a-459e-be6f-5eb699b80c63</t>
  </si>
  <si>
    <t>https://www.google.ru/maps/search/41.317203,+69.255317?entry=tts&amp;g_ep=EgoyMDI1MDUxNS4xIPu8ASoASAFQAw%3D%3D&amp;skid=a1d5bd13-d894-4784-a57b-89c05fb553f0</t>
  </si>
  <si>
    <t>https://www.google.com/maps/search/41.328721,+69.267840?entry=tts&amp;g_ep=EgoyMDI1MDUxMy4xIPu8ASoASAFQAw%3D%3D&amp;skid=0e96a9e5-2308-4f5a-a2fe-6f14fb5b33ce</t>
  </si>
  <si>
    <t>https://www.google.com/maps/search/41.322323,+69.234337?entry=tts&amp;g_ep=EgoyMDI1MDIwMi4wIPu8ASoASAFQAw%3D%3D</t>
  </si>
  <si>
    <t>https://www.google.com/maps/search/41.303691,+69.210959?entry=tts&amp;g_ep=EgoyMDI1MDUxMy4xIPu8ASoASAFQAw%3D%3D&amp;skid=369ca6f5-1259-4e27-809c-525bdc4e4542</t>
  </si>
  <si>
    <t>https://www.google.com/maps/search/41.228130,+69.178345?entry=tts&amp;g_ep=EgoyMDI1MDIwMy4wIPu8ASoASAFQAw%3D%3D</t>
  </si>
  <si>
    <t>https://www.google.com/maps/search/41.240330,+69.168177?entry=tts&amp;g_ep=EgoyMDI1MDIwMy4wIPu8ASoASAFQAw%3D%3D</t>
  </si>
  <si>
    <t>https://www.google.com/maps/search/41.248875,+69.173046?entry=tts&amp;g_ep=EgoyMDI1MDIwMy4wIPu8ASoASAFQAw%3D%3D</t>
  </si>
  <si>
    <t>https://www.google.com/maps/search/41.260273,+69.150711?entry=tts&amp;g_ep=EgoyMDI1MDIwMy4wIPu8ASoASAFQAw%3D%3D</t>
  </si>
  <si>
    <t>https://www.google.com/maps/search/41.259335,+69.166951?entry=tts&amp;g_ep=EgoyMDI1MDIwMy4wIPu8ASoASAFQAw%3D%3D</t>
  </si>
  <si>
    <t>https://www.google.com/maps/search/41.267405,+69.168511?coh=245187&amp;entry=tts&amp;g_ep=EgoyMDI1MDUxMy4xIPu8ASoJLDEwMjExNDUzSAFQAw%3D%3D&amp;skid=04821964-16ce-4b56-ba56-917b662c1de7</t>
  </si>
  <si>
    <t>https://www.google.com/maps/search/41.270032,+69.186369?entry=tts&amp;g_ep=EgoyMDI1MDIwMy4wIPu8ASoASAFQAw%3D%3D</t>
  </si>
  <si>
    <t>https://www.google.com/maps/search/41.259449,+69.190089?entry=tts&amp;g_ep=EgoyMDI1MDIwMy4wIPu8ASoASAFQAw%3D%3D</t>
  </si>
  <si>
    <t>https://www.google.com/maps/place/41%C2%B015'54.4%22N+69%C2%B011'41.6%22E/@41.265108,69.194883,760m/data=!3m2!1e3!4b1!4m4!3m3!8m2!3d41.265108!4d69.194883?entry=ttu&amp;g_ep=EgoyMDI1MDUyMS4wIKXMDSoASAFQAw%3D%3D</t>
  </si>
  <si>
    <t>https://www.google.com.co/maps/search/41.263973,+69.197631?coh=245187&amp;entry=tts&amp;g_ep=EgoyMDI1MDMwNC4wIPu8ASoJLDEwMjExNDUzSAFQAw%3D%3D</t>
  </si>
  <si>
    <t>https://www.google.com/maps/search/41.262964,+69.208746?entry=tts&amp;g_ep=EgoyMDI1MDIwMy4wIPu8ASoASAFQAw%3D%3D</t>
  </si>
  <si>
    <t>https://www.google.com/maps/search/41.262312,+69.203635?entry=tts&amp;g_ep=EgoyMDI1MDIwMy4wIPu8ASoASAFQAw%3D%3D</t>
  </si>
  <si>
    <t>https://www.google.com/maps/search/41.265876,+69.201460?entry=tts&amp;g_ep=EgoyMDI1MDIwMy4wIPu8ASoASAFQAw%3D%3D</t>
  </si>
  <si>
    <t>https://www.google.com/maps/search/41.271880,+69.212744?entry=tts&amp;g_ep=EgoyMDI1MDIwMy4wIPu8ASoASAFQAw%3D%3D</t>
  </si>
  <si>
    <t>https://www.google.com/maps/search/41.268107,+69.220483?entry=tts&amp;g_ep=EgoyMDI1MDIwMy4wIPu8ASoASAFQAw%3D%3D</t>
  </si>
  <si>
    <t>https://www.google.com/maps/search/41.275611,+69.225024?entry=tts&amp;g_ep=EgoyMDI1MDIwMy4wIPu8ASoASAFQAw%3D%3D</t>
  </si>
  <si>
    <t>https://www.google.com/maps/search/41.282519,+69.221748?entry=tts&amp;g_ep=EgoyMDI1MDIwMy4wIPu8ASoASAFQAw%3D%3D</t>
  </si>
  <si>
    <t>https://www.google.com/maps/place/76M8%2BF3J,+100115,+%D0%A2%D0%B0%D1%88%D0%BA%D0%B5%D0%BD%D1%82,+Tashkent,+%D0%A3%D0%B7%D0%B1%D0%B5%D0%BA%D0%B8%D1%81%D1%82%D0%B0%D0%BD/@41.2840667,69.2143204,263m/data=!3m1!1e3!4m6!3m5!1s0x38ae8a386e92664d:0xaa5678bca7aaaac8!8m2!3d41.2836696!4d69.2152548!16s%2Fg%2F11y3m9xmpz?entry=tts&amp;g_ep=EgoyMDI1MDUxMy4xIPu8ASoASAFQAw%3D%3D&amp;skid=cd5cb5a5-4c3f-4a4e-b8c4-4449a9b66379</t>
  </si>
  <si>
    <t>https://www.google.com/maps/search/41.274289,+69.206685?entry=tts&amp;g_ep=EgoyMDI1MDIwMy4wIPu8ASoASAFQAw%3D%3D</t>
  </si>
  <si>
    <t>https://www.google.com/maps/place/50,+100135,+%D0%A2%D0%B0%D1%88%D0%BA%D0%B5%D0%BD%D1%82,+Tashkent,+%D0%A3%D0%B7%D0%B1%D0%B5%D0%BA%D0%B8%D1%81%D1%82%D0%B0%D0%BD/@41.2785628,69.2059926,415m/data=!3m1!1e3!4m6!3m5!1s0x38ae8a3c98f56631:0xd6b1d40c575b1163!8m2!3d41.2781913!4d69.2059021!16s%2Fg%2F11bw4mkx1q?entry=tts&amp;g_ep=EgoyMDI1MDIwMy4wIPu8ASoASAFQAw%3D%3D</t>
  </si>
  <si>
    <t>https://www.google.com/maps/place/Obolon/data=!4m7!3m6!1s0x38ae8b99d86042bf:0x790df86148f94d5c!8m2!3d41.2933284!4d69.1975456!16s%2Fg%2F11k3hjbwmf!19sChIJv0Jg2JmLrjgRXE35SGH4DXk?coh=245187&amp;entry=tts&amp;g_ep=EgoyMDI1MDUxMi4wIPu8ASoJLDEwMjExNDUzSAFQAw%3D%3D&amp;skid=16e326cf-8766-47c6-95f5-36c55d10c986</t>
  </si>
  <si>
    <t>https://www.google.com.co/maps/search/41.300088,+69.200103?coh=245187&amp;entry=tts&amp;g_ep=EgoyMDI1MDMwNC4wIPu8ASoJLDEwMjExNDUzSAFQAw%3D%3D</t>
  </si>
  <si>
    <t>https://www.google.com/maps/search/41.297576,+69.204538?entry=tts&amp;g_ep=EgoyMDI1MDIwMy4wIPu8ASoASAFQAw%3D%3D</t>
  </si>
  <si>
    <t>https://www.google.com/maps/place/%D0%A6%D0%B5%D0%BD%D1%82%D1%80+%D0%BC%D0%B0%D1%85%D0%B0%D0%BB%D0%BB%D0%B8+%D0%9D%D0%B0%D1%84%D0%BE%D1%81%D0%B0%D1%82/@41.291438,69.2045368,381m/data=!3m1!1e3!4m6!3m5!1s0x38ae8b8bed14a765:0xeca0fa4864c139c6!8m2!3d41.2912375!4d69.2058169!16s%2Fg%2F11nfrl59nc?entry=tts&amp;g_ep=EgoyMDI1MDIwMy4wIPu8ASoASAFQAw%3D%3D</t>
  </si>
  <si>
    <t>https://www.google.com.co/maps/search/41.294052,+69.205683?coh=245187&amp;entry=tts&amp;g_ep=EgoyMDI1MDMwNC4wIPu8ASoJLDEwMjExNDUzSAFQAw%3D%3D</t>
  </si>
  <si>
    <t>https://www.google.com/maps/search/41.304583,+69.248403?entry=tts&amp;g_ep=EgoyMDI1MDIwMy4wIPu8ASoASAFQAw%3D%3D</t>
  </si>
  <si>
    <t>https://www.google.com/maps/search/41.299505,+69.237124?entry=tts&amp;g_ep=EgoyMDI1MDIwMy4wIPu8ASoASAFQAw%3D%3D</t>
  </si>
  <si>
    <t>https://www.google.com/maps/search/41.296233,+69.240311?entry=tts&amp;g_ep=EgoyMDI1MDIwMy4wIPu8ASoASAFQAw%3D%3D</t>
  </si>
  <si>
    <t>https://www.google.com/maps/place/%D1%83%D0%BB%D0%B8%D1%86%D0%B0+%D0%9A%D0%B0%D0%BC%D0%B8%D0%BB%D0%B0+%D0%AF%D1%80%D0%BC%D0%B0%D1%82%D0%BE%D0%B2%D0%B0,+%D0%A2%D0%B0%D1%88%D0%BA%D0%B5%D0%BD%D1%82,+Tashkent,+%D0%A3%D0%B7%D0%B1%D0%B5%D0%BA%D0%B8%D1%81%D1%82%D0%B0%D0%BD/@41.2985673,69.2330257,370m/data=!3m1!1e3!4m6!3m5!1s0x38ae8bacad20a803:0x12ef6d75ce74ee73!8m2!3d41.2981839!4d69.2336942!16s%2Fg%2F11c1dvtlp1?entry=tts&amp;g_ep=EgoyMDI1MDIwMy4wIPu8ASoASAFQAw%3D%3D</t>
  </si>
  <si>
    <t>https://www.google.com/maps/search/41.293123,+69.233107?entry=tts&amp;g_ep=EgoyMDI1MDIwMy4wIPu8ASoASAFQAw%3D%3D</t>
  </si>
  <si>
    <t>https://www.google.com/maps/search/41.297449,+69.226939?entry=tts&amp;g_ep=EgoyMDI1MDIwMy4wIPu8ASoASAFQAw%3D%3D</t>
  </si>
  <si>
    <t>https://www.google.com/maps/search/41.294399,+69.216162?entry=tts&amp;g_ep=EgoyMDI1MDIwMy4wIPu8ASoASAFQAw%3D%3D</t>
  </si>
  <si>
    <t>https://www.google.com/maps/place/Xalq+banki/@41.2912839,69.2107688,313m/data=!3m1!1e3!4m6!3m5!1s0x38ae8ba5fe515117:0xe9a4c9d43302324d!8m2!3d41.29156!4d69.212165!16s%2Fg%2F11y3rgc8sv?entry=tts&amp;g_ep=EgoyMDI1MDUxMy4xIPu8ASoASAFQAw%3D%3D&amp;skid=2f815148-4982-447c-a72d-2f71ea58ea29</t>
  </si>
  <si>
    <t>https://www.google.com/maps/place/Orient+Securities/@41.2936701,69.219924,415m/data=!3m1!1e3!4m6!3m5!1s0x38ae8a4b046fffff:0x1322bc50bb6c3e8d!8m2!3d41.2936606!4d69.2196319!16s%2Fg%2F11h4tn6j04?entry=tts&amp;g_ep=EgoyMDI1MDUxMy4xIPu8ASoASAFQAw%3D%3D&amp;skid=ae5b1baa-f8b8-4a69-b12b-9a9710ee9871</t>
  </si>
  <si>
    <t>https://www.google.com/maps/search/41.294135,+69.210264?entry=tts&amp;g_ep=EgoyMDI1MDIwMy4wIPu8ASoASAFQAw%3D%3D</t>
  </si>
  <si>
    <t>https://www.google.com/maps/search/41.246764,+69.327693?entry=tts&amp;g_ep=EgoyMDI1MDUxMy4xIPu8ASoASAFQAw%3D%3D&amp;skid=1ceb5344-ba73-4c02-be03-8b3df2ef63a0</t>
  </si>
  <si>
    <t>https://www.google.com/maps/search/41.304050,+69.376714?entry=tts&amp;g_ep=EgoyMDI1MDUxMy4xIPu8ASoASAFQAw%3D%3D&amp;skid=70952f04-401f-445a-93d2-4279e8e0dbda</t>
  </si>
  <si>
    <t>https://www.google.com/maps/search/41.258701,+69.359491?entry=tts&amp;g_ep=EgoyMDI1MDUxMy4xIPu8ASoASAFQAw%3D%3D&amp;skid=5a78e0b9-3b83-4122-88d0-f82a23b3063c</t>
  </si>
  <si>
    <t>https://www.google.com/maps/search/41.242558,+69.335540?entry=tts&amp;g_ep=EgoyMDI1MDUxMy4xIPu8ASoASAFQAw%3D%3D&amp;skid=9ecea15a-8317-47af-9b8a-12cbfac24ebc</t>
  </si>
  <si>
    <t>https://www.google.com/maps/search/41.243389,+69.328238?entry=tts&amp;g_ep=EgoyMDI1MDUxMy4xIPu8ASoASAFQAw%3D%3D&amp;skid=c951e551-4c23-4339-9563-75db756b08b9</t>
  </si>
  <si>
    <t>https://www.google.com/maps/search/41.249824,+69.324584?entry=tts&amp;g_ep=EgoyMDI1MDUxMy4xIPu8ASoASAFQAw%3D%3D&amp;skid=5b16398f-8dfe-4941-b78a-f9a6bbd61250</t>
  </si>
  <si>
    <t>https://www.google.com/maps/search/41.255491,+69.321635?entry=tts&amp;g_ep=EgoyMDI1MDUxMy4xIPu8ASoASAFQAw%3D%3D&amp;skid=4ab48613-1a39-4170-945b-8f1c667a13ad</t>
  </si>
  <si>
    <t>https://www.google.com/maps/search/41.284735,+69.307961?entry=tts&amp;g_ep=EgoyMDI1MDUxMy4xIPu8ASoASAFQAw%3D%3D&amp;skid=e865632b-23b4-4c44-bc45-470a7c5d1885</t>
  </si>
  <si>
    <t>https://www.google.com/maps/search/41.300623,+69.336869?entry=tts&amp;g_ep=EgoyMDI1MDEyOS4xIPu8ASoASAFQAw%3D%3D</t>
  </si>
  <si>
    <t>https://www.google.com/maps/search/41.304541,+69.338439?entry=tts&amp;g_ep=EgoyMDI1MDIwMi4wIPu8ASoASAFQAw%3D%3D</t>
  </si>
  <si>
    <t>https://www.google.com/maps/search/41.307995,+69.358485?entry=tts&amp;g_ep=EgoyMDI1MDIwMi4wIPu8ASoASAFQAw%3D%3D</t>
  </si>
  <si>
    <t>https://www.google.com/maps/search/41.302691,+69.360501?entry=tts&amp;g_ep=EgoyMDI1MDIwMi4wIPu8ASoASAFQAw%3D%3D</t>
  </si>
  <si>
    <t>https://www.google.com/maps/search/41.290277,+69.363240?coh=245189&amp;entry=tts&amp;g_ep=EgoyMDI1MDMwNC4wIPu8ASoJLDEwMjExNDU1SAFQAw%3D%3D</t>
  </si>
  <si>
    <t>https://www.google.com/maps/search/41.305163,+69.309842?entry=tts&amp;g_ep=EgoyMDI1MDIwMi4wIPu8ASoASAFQAw%3D%3D</t>
  </si>
  <si>
    <t>https://www.google.com/maps/search/41.291195,+69.300794?coh=245189&amp;entry=tts&amp;g_ep=EgoyMDI1MDIxOS4xIPu8ASoJLDEwMjExNDU1SAFQAw%3D%3D</t>
  </si>
  <si>
    <t>https://www.google.com/maps/search/41.287152,+69.315392?entry=tts&amp;g_ep=EgoyMDI1MDIwMi4wIPu8ASoASAFQAw%3D%3D</t>
  </si>
  <si>
    <t>https://www.google.com/maps/search/41.270750,+69.313731?coh=245189&amp;entry=tts&amp;g_ep=EgoyMDI1MDIxOS4xIPu8ASoJLDEwMjExNDU1SAFQAw%3D%3D</t>
  </si>
  <si>
    <t>https://www.google.com/maps/search/41.296421,+69.335005?coh=245189&amp;entry=tts&amp;g_ep=EgoyMDI1MDIxNy4wIPu8ASoJLDEwMjExNDU1SAFQAw%3D%3D</t>
  </si>
  <si>
    <t>https://www.google.com/maps/search/41.296487,+69.363429?coh=245189&amp;entry=tts&amp;g_ep=EgoyMDI1MDIxNy4wIPu8ASoJLDEwMjExNDU1SAFQAw%3D%3D</t>
  </si>
  <si>
    <t>https://www.google.com/maps/place/41%C2%B015'16.9%22N+69%C2%B021'19.7%22E/@41.2537157,69.3534743,1491m/data=!3m1!1e3!4m4!3m3!8m2!3d41.254701!4d69.355466?entry=ttu&amp;g_ep=EgoyMDI1MDUyMS4wIKXMDSoASAFQAw%3D%3D,     https://www.google.com/maps/place/41%C2%B015'15.5%22N+69%C2%B021'05.4%22E/@41.2572632,69.3518322,1790m/data=!3m1!1e3!4m4!3m3!8m2!3d41.254314!4d69.351503?entry=ttu&amp;g_ep=EgoyMDI1MDUyMS4wIKXMDSoASAFQAw%3D%3D</t>
  </si>
  <si>
    <t>https://www.google.com/maps/search/41.267071,+69.319239?coh=245189&amp;entry=tts&amp;g_ep=EgoyMDI1MDIxOS4xIPu8ASoJLDEwMjExNDU1SAFQAw%3D%3D</t>
  </si>
  <si>
    <t>https://www.google.com/maps/search/41.294509,+69.357562?coh=245189&amp;entry=tts&amp;g_ep=EgoyMDI1MDIyNS4wIPu8ASoJLDEwMjExNDU1SAFQAw%3D%3D</t>
  </si>
  <si>
    <t>https://www.google.com/maps/search/41.283720,+69.340028?coh=245189&amp;entry=tts&amp;g_ep=EgoyMDI1MDMwMy4wIPu8ASoJLDEwMjExNDU1SAFQAw%3D%3D</t>
  </si>
  <si>
    <t>https://www.google.com/maps/search/41.291836,+69.332182?coh=245189&amp;entry=tts&amp;g_ep=EgoyMDI1MDIyNC4wIPu8ASoJLDEwMjExNDU1SAFQAw%3D%3D</t>
  </si>
  <si>
    <t>https://www.google.com/maps/search/41.289359,+69.341375?coh=245189&amp;entry=tts&amp;g_ep=EgoyMDI1MDMwNC4wIPu8ASoJLDEwMjExNDU1SAFQAw%3D%3D</t>
  </si>
  <si>
    <t>https://www.google.com/maps/place/%D0%9F%D0%B0%D1%85%D0%BB%D0%B0%D0%B2%D0%BE%D0%BD%D0%B0+%D0%9C%D0%B0%D1%85%D0%BC%D1%83%D0%B4%D0%B0+%D1%83%D0%BB.+3,+%D0%A2%D0%B0%D1%88%D0%BA%D0%B5%D0%BD%D1%82,+Tashkent,+%D0%A3%D0%B7%D0%B1%D0%B5%D0%BA%D0%B8%D1%81%D1%82%D0%B0%D0%BD/@41.3054565,69.3091892,210m/data=!3m1!1e3!4m6!3m5!1s0x38aef52255ade5eb:0x840aae9cb44db590!8m2!3d41.3053188!4d69.3088377!16s%2Fg%2F11vwj6xfdx?entry=tts&amp;g_ep=EgoyMDI1MDEyOS4xIPu8ASoASAFQAw%3D%3D</t>
  </si>
  <si>
    <t>https://www.google.com/maps/search/41.298484,+69.337833?entry=tts&amp;g_ep=EgoyMDI1MDEyOS4xIPu8ASoASAFQAw%3D%3D</t>
  </si>
  <si>
    <t>https://www.google.com/maps/search/41.307406,+69.356958?entry=tts&amp;g_ep=EgoyMDI1MDIwMi4wIPu8ASoASAFQAw%3D%3D</t>
  </si>
  <si>
    <t>https://www.google.com/maps/search/41.292127,+69.371629?entry=tts&amp;g_ep=EgoyMDI1MDEyOS4xIPu8ASoASAFQAw%3D%3D</t>
  </si>
  <si>
    <t>https://www.google.com/maps/search/41.291724,+69.362064?entry=tts&amp;g_ep=EgoyMDI1MDEyOS4xIPu8ASoASAFQAw%3D%3D</t>
  </si>
  <si>
    <t>https://www.google.com/maps/search/41.313667,+69.317740?entry=tts&amp;g_ep=EgoyMDI1MDEyOS4xIPu8ASoASAFQAw%3D%3D</t>
  </si>
  <si>
    <t>https://www.google.com/maps/search/41.302180,+69.309216?entry=tts&amp;g_ep=EgoyMDI1MDIwMi4wIPu8ASoASAFQAw%3D%3D</t>
  </si>
  <si>
    <t>https://www.google.com/maps/search/41.288137,+69.305310?entry=tts&amp;g_ep=EgoyMDI1MDEyOS4xIPu8ASoASAFQAw%3D%3D</t>
  </si>
  <si>
    <t>https://www.google.com/maps/search/41.269265,+69.318734?entry=tts&amp;g_ep=EgoyMDI1MDEyOS4xIPu8ASoASAFQAw%3D%3D</t>
  </si>
  <si>
    <t>https://www.google.com/maps/search/41.265570,+69.322690?entry=tts&amp;g_ep=EgoyMDI1MDEyOS4xIPu8ASoASAFQAw%3D%3D</t>
  </si>
  <si>
    <t>https://www.google.com/maps/search/41.250932,+69.329349?entry=tts&amp;g_ep=EgoyMDI1MDEyOS4xIPu8ASoASAFQAw%3D%3D</t>
  </si>
  <si>
    <t>https://www.google.com/maps/search/41.294736,+69.332777?entry=tts&amp;g_ep=EgoyMDI1MDEyOS4xIPu8ASoASAFQAw%3D%3D</t>
  </si>
  <si>
    <t>https://www.google.com/maps/search/41.295187,+69.337744?entry=tts&amp;g_ep=EgoyMDI1MDEyOS4xIPu8ASoASAFQAw%3D%3D</t>
  </si>
  <si>
    <t>https://www.google.com/maps/place/Aviasozlar/@41.2855802,69.3438622,888m/data=!3m1!1e3!4m6!3m5!1s0x38aef588b86e865d:0xe3fd0e31192d8b91!8m2!3d41.2853546!4d69.3491897!16s%2Fg%2F1tcwdbtv?entry=tts&amp;g_ep=EgoyMDI1MDEyOS4xIPu8ASoASAFQAw%3D%3D</t>
  </si>
  <si>
    <t>https://www.google.com/maps/search/41.285354,+69.360957?entry=tts&amp;g_ep=EgoyMDI1MDIwOS4wIPu8ASoASAFQAw%3D%3D</t>
  </si>
  <si>
    <t>https://www.google.com/maps/search/41.280061,+69.353315?entry=tts&amp;g_ep=EgoyMDI1MDEyOS4xIPu8ASoASAFQAw%3D%3D</t>
  </si>
  <si>
    <t>https://www.google.com/maps/search/41.278369,+69.371465?entry=tts&amp;g_ep=EgoyMDI1MDEyOS4xIPu8ASoASAFQAw%3D%3D</t>
  </si>
  <si>
    <t>https://www.google.com/maps/place/Mirobod+tumani+statistika+boshqarmasi/@41.2963503,69.2834831,299m/data=!3m1!1e3!4m6!3m5!1s0x38ae8b122878999d:0x123bc05bd2437e0b!8m2!3d41.2961668!4d69.2843104!16s%2Fg%2F11q938lcb4?entry=tts&amp;g_ep=EgoyMDI1MDUxMi4wIPu8ASoASAFQAw%3D%3D&amp;skid=6f340935-651b-436e-bb80-700848d10ede</t>
  </si>
  <si>
    <t>https://www.google.com/maps/place/Mirobod+tumani+Davlat+Soliq+inspeksiyasi/@41.2954794,69.2840148,299m/data=!3m1!1e3!4m6!3m5!1s0x38ae8b5b285350f3:0xa095b22c4e697035!8m2!3d41.2954115!4d69.2846772!16s%2Fg%2F11tdp2wk13?entry=tts&amp;g_ep=EgoyMDI1MDUxMi4wIPu8ASoASAFQAw%3D%3D&amp;skid=3e1e4d86-6f2b-4d2a-9b42-9dbdec0ada36</t>
  </si>
  <si>
    <t>https://www.google.com/maps/search/41.282881,+69.270136?entry=tts&amp;g_ep=EgoyMDI1MDUxMi4wIPu8ASoASAFQAw%3D%3D&amp;skid=a057fdf3-0d66-4504-83dd-8281c5c618ef</t>
  </si>
  <si>
    <t>https://www.google.com/maps/place/41%C2%B015'01.5%22N+69%C2%B023'16.4%22E/@41.250417,69.387889,608m/data=!3m2!1e3!4b1!4m4!3m3!8m2!3d41.250417!4d69.387889?entry=ttu&amp;g_ep=EgoyMDI1MDUyMS4wIKXMDSoASAFQAw%3D%3D</t>
  </si>
  <si>
    <t>https://www.google.com/maps/place/41%C2%B014'34.4%22N+69%C2%B021'24.0%22E/@41.242875,69.356678,608m/data=!3m2!1e3!4b1!4m4!3m3!8m2!3d41.242875!4d69.356678?entry=ttu&amp;g_ep=EgoyMDI1MDUyMS4wIKXMDSoASAFQAw%3D%3D</t>
  </si>
  <si>
    <t>https://www.google.com/maps/place/41%C2%B015'22.1%22N+69%C2%B022'27.7%22E/@41.256139,69.374363,608m/data=!3m2!1e3!4b1!4m4!3m3!8m2!3d41.256139!4d69.374363?entry=ttu&amp;g_ep=EgoyMDI1MDUyMS4wIKXMDSoASAFQAw%3D%3D</t>
  </si>
  <si>
    <t>https://www.google.com/maps/place/41%C2%B015'00.3%22N+69%C2%B022'33.7%22E/@41.2500915,69.376019,608m/data=!3m1!1e3!4m4!3m3!8m2!3d41.25009!4d69.376019?entry=ttu&amp;g_ep=EgoyMDI1MDUyMS4wIKXMDSoASAFQAw%3D%3D</t>
  </si>
  <si>
    <t>https://www.google.com/maps/place/41%C2%B014'27.6%22N+69%C2%B020'32.6%22E/@41.240998,69.342384,608m/data=!3m2!1e3!4b1!4m4!3m3!8m2!3d41.240998!4d69.342384?entry=ttu&amp;g_ep=EgoyMDI1MDUyMS4wIKXMDSoASAFQAw%3D%3D</t>
  </si>
  <si>
    <t>https://www.google.com/maps/place/41%C2%B012'41.4%22N+69%C2%B020'29.8%22E/@41.211511,69.341615,608m/data=!3m2!1e3!4b1!4m4!3m3!8m2!3d41.211511!4d69.341615?entry=ttu&amp;g_ep=EgoyMDI1MDUyMS4wIKXMDSoASAFQAw%3D%3D</t>
  </si>
  <si>
    <t>https://www.google.com/maps/place/41%C2%B013'43.0%22N+69%C2%B019'48.0%22E/@41.228623,69.330003,608m/data=!3m2!1e3!4b1!4m4!3m3!8m2!3d41.228623!4d69.330003?entry=ttu&amp;g_ep=EgoyMDI1MDUyMS4wIKXMDSoASAFQAw%3D%3D</t>
  </si>
  <si>
    <t>https://www.google.com/maps/place/41%C2%B012'59.0%22N+69%C2%B020'12.6%22E/@41.216396,69.336844,608m/data=!3m2!1e3!4b1!4m4!3m3!8m2!3d41.216396!4d69.336844?entry=ttu&amp;g_ep=EgoyMDI1MDUyMS4wIKXMDSoASAFQAw%3D%3D</t>
  </si>
  <si>
    <t>https://www.google.com/maps/place/41%C2%B013'42.4%22N+69%C2%B019'47.3%22E/@41.228443,69.329806,608m/data=!3m2!1e3!4b1!4m4!3m3!8m2!3d41.228443!4d69.329806?entry=ttu&amp;g_ep=EgoyMDI1MDUyMS4wIKXMDSoASAFQAw%3D%3D</t>
  </si>
  <si>
    <t>https://www.google.com/maps/place/41%C2%B014'06.9%22N+69%C2%B021'06.3%22E/@41.235235,69.35174,608m/data=!3m2!1e3!4b1!4m4!3m3!8m2!3d41.235235!4d69.35174?entry=ttu&amp;g_ep=EgoyMDI1MDUyMS4wIKXMDSoASAFQAw%3D%3D</t>
  </si>
  <si>
    <t>https://www.google.com/maps/place/41%C2%B015'04.3%22N+69%C2%B022'24.1%22E/@41.251181,69.373366,608m/data=!3m2!1e3!4b1!4m4!3m3!8m2!3d41.251181!4d69.373366?entry=ttu&amp;g_ep=EgoyMDI1MDUyMS4wIKXMDSoASAFQAw%3D%3D</t>
  </si>
  <si>
    <t>https://www.google.com/maps/place/41%C2%B015'13.5%22N+69%C2%B022'47.7%22E/@41.25374,69.379908,608m/data=!3m2!1e3!4b1!4m4!3m3!8m2!3d41.25374!4d69.379908?entry=ttu&amp;g_ep=EgoyMDI1MDUyMS4wIKXMDSoASAFQAw%3D%3D</t>
  </si>
  <si>
    <t>https://www.google.com/maps/place/41%C2%B014'52.2%22N+69%C2%B022'09.0%22E/@41.247829,69.369167,608m/data=!3m2!1e3!4b1!4m4!3m3!8m2!3d41.247829!4d69.369167?entry=ttu&amp;g_ep=EgoyMDI1MDUyMS4wIKXMDSoASAFQAw%3D%3D</t>
  </si>
  <si>
    <t>https://www.google.com/maps/place/41%C2%B014'30.5%22N+69%C2%B022'35.6%22E/@41.241793,69.376562,608m/data=!3m2!1e3!4b1!4m4!3m3!8m2!3d41.241793!4d69.376562?entry=ttu&amp;g_ep=EgoyMDI1MDUyMS4wIKXMDSoASAFQAw%3D%3D</t>
  </si>
  <si>
    <t>https://www.google.com/maps/place/41%C2%B014'19.0%22N+69%C2%B019'33.3%22E/@41.2386111,69.3259167,608m/data=!3m2!1e3!4b1!4m4!3m3!8m2!3d41.2386111!4d69.3259167?entry=ttu&amp;g_ep=EgoyMDI1MDUyMS4wIKXMDSoASAFQAw%3D%3D</t>
  </si>
  <si>
    <t>https://www.google.com/maps/place/41%C2%B014'42.4%22N+69%C2%B022'05.5%22E/@41.245117,69.368203,608m/data=!3m2!1e3!4b1!4m4!3m3!8m2!3d41.245117!4d69.368203?entry=ttu&amp;g_ep=EgoyMDI1MDUyMS4wIKXMDSoASAFQAw%3D%3D</t>
  </si>
  <si>
    <t>https://www.google.com/maps/place/41%C2%B014'33.5%22N+69%C2%B021'52.8%22E/@41.242647,69.364675,608m/data=!3m2!1e3!4b1!4m4!3m3!8m2!3d41.242647!4d69.364675?entry=ttu&amp;g_ep=EgoyMDI1MDUyMS4wIKXMDSoASAFQAw%3D%3D</t>
  </si>
  <si>
    <t>https://www.google.com/maps/place/41%C2%B013'18.8%22N+69%C2%B020'02.9%22E/@41.22189,69.334134,608m/data=!3m2!1e3!4b1!4m4!3m3!8m2!3d41.22189!4d69.334134?entry=ttu&amp;g_ep=EgoyMDI1MDUyMS4wIKXMDSoASAFQAw%3D%3D</t>
  </si>
  <si>
    <t>https://www.google.com/maps/place/41%C2%B013'51.2%22N+69%C2%B022'27.9%22E/@41.230897,69.374412,608m/data=!3m2!1e3!4b1!4m4!3m3!8m2!3d41.230897!4d69.374412?entry=ttu&amp;g_ep=EgoyMDI1MDUyMS4wIKXMDSoASAFQAw%3D%3D</t>
  </si>
  <si>
    <t>https://www.google.com/maps/place/41%C2%B013'37.9%22N+69%C2%B022'04.6%22E/@41.227181,69.367938,608m/data=!3m2!1e3!4b1!4m4!3m3!8m2!3d41.227181!4d69.367938?entry=ttu&amp;g_ep=EgoyMDI1MDUyMS4wIKXMDSoASAFQAw%3D%3D</t>
  </si>
  <si>
    <t>https://www.google.com/maps/place/41%C2%B012'29.9%22N+69%C2%B019'55.9%22E/@41.208313,69.332183,609m/data=!3m2!1e3!4b1!4m4!3m3!8m2!3d41.208313!4d69.332183?entry=ttu&amp;g_ep=EgoyMDI1MDUyMS4wIKXMDSoASAFQAw%3D%3D</t>
  </si>
  <si>
    <t>https://www.google.com/maps/place/41%C2%B013'17.0%22N+69%C2%B019'55.0%22E/@41.221386,69.331956,608m/data=!3m2!1e3!4b1!4m4!3m3!8m2!3d41.221386!4d69.331956?entry=ttu&amp;g_ep=EgoyMDI1MDUyMS4wIKXMDSoASAFQAw%3D%3D</t>
  </si>
  <si>
    <t>https://www.google.com/maps/place/41%C2%B014'48.5%22N+69%C2%B023'18.0%22E/@41.246802,69.388326,608m/data=!3m2!1e3!4b1!4m4!3m3!8m2!3d41.246802!4d69.388326?entry=ttu&amp;g_ep=EgoyMDI1MDUyMS4wIKXMDSoASAFQAw%3D%3D</t>
  </si>
  <si>
    <t>https://www.google.com/maps/place/41%C2%B013'25.8%22N+69%C2%B020'29.5%22E/@41.223822,69.341537,608m/data=!3m2!1e3!4b1!4m4!3m3!8m2!3d41.223822!4d69.341537?entry=ttu&amp;g_ep=EgoyMDI1MDUyMS4wIKXMDSoASAFQAw%3D%3D</t>
  </si>
  <si>
    <t>https://www.google.com/maps/place/41%C2%B013'00.4%22N+69%C2%B019'16.8%22E/@41.216787,69.321339,608m/data=!3m2!1e3!4b1!4m4!3m3!8m2!3d41.216787!4d69.321339?entry=ttu&amp;g_ep=EgoyMDI1MDUyMS4wIKXMDSoASAFQAw%3D%3D</t>
  </si>
  <si>
    <t>https://www.google.ru/maps/place/41%C2%B014'43.1%22N+69%C2%B013'51.3%22E/@41.245302,69.230911,17z/data=!3m1!4b1!4m4!3m3!8m2!3d41.245302!4d69.230911?entry=ttu&amp;g_ep=EgoyMDI1MDUyMS4wIKXMDSoASAFQAw%3D%3D</t>
  </si>
  <si>
    <t>https://www.google.ru/maps/place/41%C2%B014'05.8%22N+69%C2%B011'57.5%22E/@41.234949,69.199302,17z/data=!3m1!4b1!4m4!3m3!8m2!3d41.234949!4d69.199302?entry=ttu&amp;g_ep=EgoyMDI1MDUyMS4wIKXMDSoASAFQAw%3D%3D</t>
  </si>
  <si>
    <t>https://www.google.ru/maps/place/41%C2%B014'04.2%22N+69%C2%B017'52.8%22E/@41.234506,69.297993,17z/data=!3m1!4b1!4m4!3m3!8m2!3d41.234506!4d69.297993?entry=ttu&amp;g_ep=EgoyMDI1MDUyMS4wIKXMDSoASAFQAw%3D%3D</t>
  </si>
  <si>
    <t>https://www.google.ru/maps/place/41%C2%B015'11.7%22N+69%C2%B014'49.6%22E/@41.253243,69.247108,17z/data=!3m1!4b1!4m4!3m3!8m2!3d41.253243!4d69.247108?entry=ttu&amp;g_ep=EgoyMDI1MDUyMS4wIKXMDSoASAFQAw%3D%3D</t>
  </si>
  <si>
    <t>https://www.google.ru/maps/place/41%C2%B014'48.6%22N+69%C2%B012'19.0%22E/@41.24684,69.205267,17z/data=!3m1!4b1!4m4!3m3!8m2!3d41.24684!4d69.205267?entry=ttu&amp;g_ep=EgoyMDI1MDUyMS4wIKXMDSoASAFQAw%3D%3D</t>
  </si>
  <si>
    <t>https://www.google.ru/maps/place/41%C2%B012'59.1%22N+69%C2%B013'32.6%22E/@41.216428,69.22573,17z/data=!3m1!4b1!4m4!3m3!8m2!3d41.216428!4d69.22573?entry=ttu&amp;g_ep=EgoyMDI1MDUyMS4wIKXMDSoASAFQAw%3D%3D</t>
  </si>
  <si>
    <t>https://www.google.ru/maps/place/41%C2%B012'54.9%22N+69%C2%B012'48.5%22E/@41.21525,69.2134722,17z/data=!3m1!4b1!4m4!3m3!8m2!3d41.21525!4d69.2134722?entry=ttu&amp;g_ep=EgoyMDI1MDUyMS4wIKXMDSoASAFQAw%3D%3D</t>
  </si>
  <si>
    <t>https://www.google.ru/maps/place/41%C2%B014'41.5%22N+69%C2%B015'24.7%22E/@41.244862,69.256866,17z/data=!3m1!4b1!4m4!3m3!8m2!3d41.244862!4d69.256866?entry=ttu&amp;g_ep=EgoyMDI1MDUyMS4wIKXMDSoASAFQAw%3D%3D</t>
  </si>
  <si>
    <t>https://www.google.ru/maps/place/41%C2%B015'12.0%22N+69%C2%B016'30.8%22E/@41.253343,69.275213,17z/data=!3m1!4b1!4m4!3m3!8m2!3d41.253343!4d69.275213?entry=ttu&amp;g_ep=EgoyMDI1MDUyMS4wIKXMDSoASAFQAw%3D%3D</t>
  </si>
  <si>
    <t>https://www.google.ru/maps/place/41%C2%B014'10.9%22N+69%C2%B014'15.4%22E/@41.236355,69.237613,17z/data=!3m1!4b1!4m4!3m3!8m2!3d41.236355!4d69.237613?entry=ttu&amp;g_ep=EgoyMDI1MDUyMS4wIKXMDSoASAFQAw%3D%3D</t>
  </si>
  <si>
    <t>https://www.google.ru/maps/place/41%C2%B015'40.8%22N+69%C2%B014'51.0%22E/@41.261345,69.247485,17z/data=!3m1!4b1!4m4!3m3!8m2!3d41.261345!4d69.247485?entry=ttu&amp;g_ep=EgoyMDI1MDUyMS4wIKXMDSoASAFQAw%3D%3D</t>
  </si>
  <si>
    <t>https://www.google.ru/maps/place/41%C2%B014'07.3%22N+69%C2%B012'08.2%22E/@41.235361,69.20228,17z/data=!3m1!4b1!4m4!3m3!8m2!3d41.235361!4d69.20228?entry=ttu&amp;g_ep=EgoyMDI1MDUyMS4wIKXMDSoASAFQAw%3D%3D</t>
  </si>
  <si>
    <t>https://www.google.ru/maps/search/41.213369,+69.252449?entry=tts&amp;g_ep=EgoyMDI1MDEyOS4xIPu8ASoASAFQAw%3D%3D</t>
  </si>
  <si>
    <t>https://www.google.com/maps/place/41%C2%B014'53.1%22N+69%C2%B016'23.8%22E/@41.248071,69.273283,608m/data=!3m2!1e3!4b1!4m4!3m3!8m2!3d41.248071!4d69.273283?entry=ttu&amp;g_ep=EgoyMDI1MDUyMS4wIKXMDSoASAFQAw%3D%3D</t>
  </si>
  <si>
    <t>https://www.google.com/maps/place/41%C2%B014'47.6%22N+69%C2%B016'07.4%22E/@41.246541,69.26872,608m/data=!3m2!1e3!4b1!4m4!3m3!8m2!3d41.246541!4d69.26872?entry=ttu&amp;g_ep=EgoyMDI1MDUyMS4wIKXMDSoASAFQAw%3D%3D</t>
  </si>
  <si>
    <t>https://www.google.ru/maps/place/41%C2%B013'52.6%22N+69%C2%B012'53.2%22E/@41.231265,69.214771,17z/data=!3m1!4b1!4m4!3m3!8m2!3d41.231265!4d69.214771?entry=ttu&amp;g_ep=EgoyMDI1MDUyMS4wIKXMDSoASAFQAw%3D%3D</t>
  </si>
  <si>
    <t>https://www.google.ru/maps/place/%D0%8E%D0%B7%D0%B3%D0%B0%D1%80%D0%B8%D1%88+%D0%BC%D0%B0%D2%B3%D0%B0%D0%BB%D0%B0+%D0%BC%D0%B0%D1%80%D0%BA%D0%B0%D0%B7%D0%B8/@41.2264719,69.2065542,304m/data=!3m1!1e3!4m6!3m5!1s0x38ae611e430864dd:0xfd040a9ad27607cb!8m2!3d41.2264692!4d69.2066779!16s%2Fg%2F11vjcb7171?entry=ttu&amp;g_ep=EgoyMDI1MDUyMS4wIKXMDSoASAFQAw%3D%3D</t>
  </si>
  <si>
    <t>https://www.google.ru/maps/place/41%C2%B012'57.2%22N+69%C2%B014'16.2%22E/@41.215888,69.237833,608m/data=!3m2!1e3!4b1!4m4!3m3!8m2!3d41.215888!4d69.237833?entry=ttu&amp;g_ep=EgoyMDI1MDUyMS4wIKXMDSoASAFQAw%3D%3D</t>
  </si>
  <si>
    <t>https://www.google.ru/maps/place/41%C2%B014'15.1%22N+69%C2%B013'03.3%22E/@41.237528,69.217569,608m/data=!3m2!1e3!4b1!4m4!3m3!8m2!3d41.237528!4d69.217569?entry=ttu&amp;g_ep=EgoyMDI1MDUyMS4wIKXMDSoASAFQAw%3D%3D</t>
  </si>
  <si>
    <t>https://www.google.com/maps/place/41%C2%B015'20.7%22N+69%C2%B017'48.5%22E/@41.255736,69.296794,608m/data=!3m2!1e3!4b1!4m4!3m3!8m2!3d41.255736!4d69.296794?entry=ttu&amp;g_ep=EgoyMDI1MDUyMS4wIKXMDSoASAFQAw%3D%3D</t>
  </si>
  <si>
    <t>https://www.google.ru/maps/place/41%C2%B013'31.6%22N+69%C2%B016'28.5%22E/@41.225439,69.274574,608m/data=!3m2!1e3!4b1!4m4!3m3!8m2!3d41.225439!4d69.274574?entry=ttu&amp;g_ep=EgoyMDI1MDUyMS4wIKXMDSoASAFQAw%3D%3D</t>
  </si>
  <si>
    <t>https://www.google.com/maps/place/41%C2%B014'03.2%22N+69%C2%B012'38.2%22E/@41.234234,69.210607,608m/data=!3m2!1e3!4b1!4m4!3m3!8m2!3d41.234234!4d69.210607?entry=ttu&amp;g_ep=EgoyMDI1MDUyMS4wIKXMDSoASAFQAw%3D%3D</t>
  </si>
  <si>
    <t>https://www.google.com/maps/place/41%C2%B014'22.0%22N+69%C2%B011'46.6%22E/@41.239452,69.196286,608m/data=!3m2!1e3!4b1!4m4!3m3!8m2!3d41.239452!4d69.196286?entry=ttu&amp;g_ep=EgoyMDI1MDUyMS4wIKXMDSoASAFQAw%3D%3D</t>
  </si>
  <si>
    <t>https://www.google.com/maps/place/41%C2%B015'01.0%22N+69%C2%B012'49.9%22E/@41.250269,69.213864,608m/data=!3m2!1e3!4b1!4m4!3m3!8m2!3d41.250269!4d69.213864?entry=ttu&amp;g_ep=EgoyMDI1MDUyMS4wIKXMDSoASAFQAw%3D%3D</t>
  </si>
  <si>
    <t>https://www.google.com/maps/place/41%C2%B014'53.1%22N+69%C2%B012'28.9%22E/@41.248084,69.20804,608m/data=!3m2!1e3!4b1!4m4!3m3!8m2!3d41.248084!4d69.20804?entry=ttu&amp;g_ep=EgoyMDI1MDUyMS4wIKXMDSoASAFQAw%3D%3D</t>
  </si>
  <si>
    <t>https://www.google.com/maps/place/41%C2%B014'39.4%22N+69%C2%B012'04.0%22E/@41.244279,69.201117,608m/data=!3m2!1e3!4b1!4m4!3m3!8m2!3d41.244279!4d69.201117?entry=ttu&amp;g_ep=EgoyMDI1MDUyMS4wIKXMDSoASAFQAw%3D%3D</t>
  </si>
  <si>
    <t>https://www.google.com/maps/place/41%C2%B014'50.5%22N+69%C2%B015'18.1%22E/@41.247352,69.255024,608m/data=!3m2!1e3!4b1!4m4!3m3!8m2!3d41.247352!4d69.255024?entry=ttu&amp;g_ep=EgoyMDI1MDUyMS4wIKXMDSoASAFQAw%3D%3D</t>
  </si>
  <si>
    <t>https://www.google.com/maps/place/41%C2%B012'48.9%22N+69%C2%B013'58.0%22E/@41.213594,69.232787,608m/data=!3m2!1e3!4b1!4m4!3m3!8m2!3d41.213594!4d69.232787?entry=ttu&amp;g_ep=EgoyMDI1MDUyMS4wIKXMDSoASAFQAw%3D%3D</t>
  </si>
  <si>
    <t>https://www.google.com/maps/place/41%C2%B015'11.7%22N+69%C2%B017'26.1%22E/@41.253241,69.290581,608m/data=!3m2!1e3!4b1!4m4!3m3!8m2!3d41.253241!4d69.290581?entry=ttu&amp;g_ep=EgoyMDI1MDUyMS4wIKXMDSoASAFQAw%3D%3D</t>
  </si>
  <si>
    <t>https://www.google.com/maps/search/41.278639,+69.288094?entry=tts&amp;g_ep=EgoyMDI1MDUxMi4wIPu8ASoASAFQAw%3D%3D&amp;skid=3bff6a0d-8a63-4d81-b72e-22431c0af29b</t>
  </si>
  <si>
    <t>https://www.google.com/maps/search/41.284169,+69.293755?entry=tts&amp;g_ep=EgoyMDI1MDUxMi4wIPu8ASoASAFQAw%3D%3D&amp;skid=99ebabaf-64bf-440f-8d49-cb75f13e04cb</t>
  </si>
  <si>
    <t>https://www.google.com/maps/search/41.253615,+69.305049?entry=tts&amp;g_ep=EgoyMDI1MDUxMi4wIPu8ASoASAFQAw%3D%3D&amp;skid=86658804-fd35-4db6-9151-e824a43c3f26</t>
  </si>
  <si>
    <t>https://www.google.com/maps/search/41.240179,+69.328717?entry=tts&amp;g_ep=EgoyMDI1MDUxMi4wIPu8ASoASAFQAw%3D%3D&amp;skid=7c0e04e0-234f-4a7f-bd6e-f7f3841838fe</t>
  </si>
  <si>
    <t>https://www.google.com/maps/search/41.228854,+69.256003?entry=tts&amp;g_ep=EgoyMDI1MDUxMi4wIPu8ASoASAFQAw%3D%3D&amp;skid=395bad5e-5733-4ffd-9352-d32bfc290f00</t>
  </si>
  <si>
    <t>https://www.google.com/maps/search/41.237273,+69.193199?coh=245187&amp;entry=tts&amp;g_ep=EgoyMDI1MDMwNC4wIPu8ASoJLDEwMjExNDUzSAFQAw%3D%3D</t>
  </si>
  <si>
    <t>https://www.google.com/maps/search/41.228310,+69.187143?coh=245187&amp;entry=tts&amp;g_ep=EgoyMDI1MDMwNC4wIPu8ASoJLDEwMjExNDUzSAFQAw%3D%3D</t>
  </si>
  <si>
    <t>https://www.google.com/maps/search/41.221574,+69.191693?coh=245187&amp;entry=tts&amp;g_ep=EgoyMDI1MDMwNC4wIPu8ASoJLDEwMjExNDUzSAFQAw%3D%3D</t>
  </si>
  <si>
    <t>https://www.google.com/maps/search/41.201482,+69.190625?coh=245187&amp;entry=tts&amp;g_ep=EgoyMDI1MDMwNC4wIPu8ASoJLDEwMjExNDUzSAFQAw%3D%3D</t>
  </si>
  <si>
    <t>https://www.google.com/maps/search/41.204021,+69.199212?coh=245187&amp;entry=tts&amp;g_ep=EgoyMDI1MDMwNC4wIPu8ASoJLDEwMjExNDUzSAFQAw%3D%3D</t>
  </si>
  <si>
    <t>https://www.google.com/maps/search/41.199555,+69.197097?coh=245187&amp;entry=tts&amp;g_ep=EgoyMDI1MDMwNC4wIPu8ASoJLDEwMjExNDUzSAFQAw%3D%3D</t>
  </si>
  <si>
    <t>https://www.google.com/maps/search/41.198191,+69.201869?coh=245187&amp;entry=tts&amp;g_ep=EgoyMDI1MDMwNC4wIPu8ASoJLDEwMjExNDUzSAFQAw%3D%3D</t>
  </si>
  <si>
    <t>https://www.google.com/maps/search/41.192441,+69.194950?coh=245187&amp;entry=tts&amp;g_ep=EgoyMDI1MDMwNC4wIPu8ASoJLDEwMjExNDUzSAFQAw%3D%3D</t>
  </si>
  <si>
    <t>https://www.google.com/maps/search/41.199158,+69.210367?coh=245187&amp;entry=tts&amp;g_ep=EgoyMDI1MDMwNC4wIPu8ASoJLDEwMjExNDUzSAFQAw%3D%3D</t>
  </si>
  <si>
    <t>https://www.google.com/maps/search/41.207729,+69.230638?coh=245187&amp;entry=tts&amp;g_ep=EgoyMDI1MDMwNC4wIPu8ASoJLDEwMjExNDUzSAFQAw%3D%3D</t>
  </si>
  <si>
    <t>https://www.google.com/maps/search/41.195409,+69.214269?coh=245187&amp;entry=tts&amp;g_ep=EgoyMDI1MDMwNC4wIPu8ASoJLDEwMjExNDUzSAFQAw%3D%3D</t>
  </si>
  <si>
    <t>https://www.google.com/maps/search/41.188946,+69.213393?coh=245187&amp;entry=tts&amp;g_ep=EgoyMDI1MDMwNC4wIPu8ASoJLDEwMjExNDUzSAFQAw%3D%3D</t>
  </si>
  <si>
    <t>https://www.google.com/maps/search/41.180612,+69.202558?coh=245187&amp;entry=tts&amp;g_ep=EgoyMDI1MDMwNC4wIPu8ASoJLDEwMjExNDUzSAFQAw%3D%3D</t>
  </si>
  <si>
    <t>https://www.google.com/maps/search/41.182327,+69.233502?coh=245187&amp;entry=tts&amp;g_ep=EgoyMDI1MDMwNC4wIPu8ASoJLDEwMjExNDUzSAFQAw%3D%3D</t>
  </si>
  <si>
    <t>https://www.google.com/maps/search/41.171608,+69.284201?coh=245187&amp;entry=tts&amp;g_ep=EgoyMDI1MDMwNC4wIPu8ASoJLDEwMjExNDUzSAFQAw%3D%3D</t>
  </si>
  <si>
    <t>https://www.google.com/maps/search/41.177882,+69.296841?coh=245187&amp;entry=tts&amp;g_ep=EgoyMDI1MDMwNC4wIPu8ASoJLDEwMjExNDUzSAFQAw%3D%3D</t>
  </si>
  <si>
    <t>https://www.google.com/maps/search/41.212554,+69.192633?coh=245187&amp;entry=tts&amp;g_ep=EgoyMDI1MDMwNC4wIPu8ASoJLDEwMjExNDUzSAFQAw%3D%3D</t>
  </si>
  <si>
    <t>https://www.google.com/maps/search/41.212515,+69.212453?coh=245187&amp;entry=tts&amp;g_ep=EgoyMDI1MDMwNC4wIPu8ASoJLDEwMjExNDUzSAFQAw%3D%3D</t>
  </si>
  <si>
    <t>https://www.google.com/maps/search/41.202332,+69.217699?coh=245187&amp;entry=tts&amp;g_ep=EgoyMDI1MDMwNC4wIPu8ASoJLDEwMjExNDUzSAFQAw%3D%3D</t>
  </si>
  <si>
    <t>https://www.google.com/maps/search/41.194264,+69.211763?coh=245187&amp;entry=tts&amp;g_ep=EgoyMDI1MDMwNC4wIPu8ASoJLDEwMjExNDUzSAFQAw%3D%3D</t>
  </si>
  <si>
    <t>https://www.google.com/maps/search/41.202185,+69.244832?coh=245187&amp;entry=tts&amp;g_ep=EgoyMDI1MDMwNC4wIPu8ASoJLDEwMjExNDUzSAFQAw%3D%3D</t>
  </si>
  <si>
    <t>https://www.google.com/maps/search/41.179199,+69.241324?coh=245187&amp;entry=tts&amp;g_ep=EgoyMDI1MDMwNC4wIPu8ASoJLDEwMjExNDUzSAFQAw%3D%3D</t>
  </si>
  <si>
    <t>https://www.google.com/maps/search/41.192373,+69.279758?coh=245187&amp;entry=tts&amp;g_ep=EgoyMDI1MDMwNC4wIPu8ASoJLDEwMjExNDUzSAFQAw%3D%3D</t>
  </si>
  <si>
    <t xml:space="preserve"> https://www.google.com/maps/search/41.228143,+69.195150?entry=tts&amp;g_ep=EgoyMDI1MDUxMi4wIPu8ASoASAFQAw%3D%3D&amp;skid=8200f830-0164-4185-aea0-4e9acdcc3267</t>
  </si>
  <si>
    <t>https://www.google.com/maps/search/41.175535,+69.215548?entry=tts&amp;g_ep=EgoyMDI1MDUxMi4wIPu8ASoASAFQAw%3D%3D&amp;skid=2bfc2f5d-5432-416a-97cd-e46bb5719aae</t>
  </si>
  <si>
    <t>https://www.google.com/maps/search/41.180324,+69.278945?entry=tts&amp;g_ep=EgoyMDI1MDUxMi4wIPu8ASoASAFQAw%3D%3D&amp;skid=bf85891f-5380-43f0-ba40-1226d993a9aa</t>
  </si>
  <si>
    <t>https://www.google.com/maps/search/41.253169,+69.321483?entry=tts&amp;g_ep=EgoyMDI1MDIwMy4wIPu8ASoASAFQAw%3D%3D</t>
  </si>
  <si>
    <t>https://www.google.com/maps/search/41.248807,+69.314810?entry=tts&amp;g_ep=EgoyMDI1MDIwMy4wIPu8ASoASAFQAw%3D%3D</t>
  </si>
  <si>
    <t>https://www.google.com/maps/search/41.279189,+69.282018?entry=tts&amp;g_ep=EgoyMDI1MDIwMy4wIPu8ASoASAFQAw%3D%3D</t>
  </si>
  <si>
    <t>https://www.google.com/maps/search/41.277701,+69.279905?entry=tts&amp;g_ep=EgoyMDI1MDIwMy4wIPu8ASoASAFQAw%3D%3D</t>
  </si>
  <si>
    <t>https://www.google.com/maps/search/41.272714,+69.306066?entry=tts&amp;g_ep=EgoyMDI1MDIwMy4wIPu8ASoASAFQAw%3D%3D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</si>
</sst>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s_o_ʻ_m_-"/>
  </numFmts>
  <fonts count="14" x14ac:knownFonts="1">
    <font>
      <sz val="11"/>
      <color theme="1"/>
      <name val="Calibri"/>
      <family val="2"/>
      <scheme val="minor"/>
    </font>
    <font>
      <b/>
      <sz val="12"/>
      <color rgb="FF000000"/>
      <name val="Calibri"/>
      <family val="2"/>
    </font>
    <font>
      <sz val="12"/>
      <color rgb="FF000000"/>
      <name val="Calibri"/>
      <family val="2"/>
    </font>
    <font>
      <sz val="11"/>
      <color theme="1"/>
      <name val="Calibri"/>
      <family val="2"/>
    </font>
    <font>
      <sz val="12"/>
      <color rgb="FF000000"/>
      <name val="Calibri Light"/>
      <family val="2"/>
    </font>
    <font>
      <sz val="12"/>
      <color theme="1"/>
      <name val="Calibri"/>
      <family val="2"/>
    </font>
    <font>
      <sz val="11"/>
      <color theme="1"/>
      <name val="Calibri"/>
      <family val="2"/>
    </font>
    <font>
      <sz val="9"/>
      <color rgb="FFFF0000"/>
      <name val="Calibri"/>
      <family val="2"/>
      <scheme val="minor"/>
    </font>
    <font>
      <b/>
      <sz val="9"/>
      <color rgb="FFFF0000"/>
      <name val="Calibri"/>
      <family val="2"/>
      <scheme val="minor"/>
    </font>
    <font>
      <sz val="12"/>
      <color rgb="FF000000"/>
      <name val="Calibri"/>
      <family val="2"/>
      <scheme val="minor"/>
    </font>
    <font>
      <u/>
      <sz val="11"/>
      <color theme="10"/>
      <name val="Calibri"/>
      <family val="2"/>
      <scheme val="minor"/>
    </font>
    <font>
      <sz val="12"/>
      <name val="Calibri"/>
      <family val="2"/>
    </font>
    <font>
      <u/>
      <sz val="11"/>
      <name val="Calibri"/>
      <family val="2"/>
      <scheme val="minor"/>
    </font>
    <font>
      <sz val="11"/>
      <name val="Calibri"/>
      <family val="2"/>
      <scheme val="minor"/>
    </font>
  </fonts>
  <fills count="15">
    <fill>
      <patternFill patternType="none"/>
    </fill>
    <fill>
      <patternFill patternType="gray125"/>
    </fill>
    <fill>
      <patternFill patternType="solid">
        <fgColor rgb="FFD9D9D9"/>
      </patternFill>
    </fill>
    <fill>
      <patternFill patternType="solid">
        <fgColor rgb="FF66FFCC"/>
      </patternFill>
    </fill>
    <fill>
      <patternFill patternType="solid">
        <fgColor rgb="FFFFCCCC"/>
      </patternFill>
    </fill>
    <fill>
      <patternFill patternType="solid">
        <fgColor rgb="FFF8CBAD"/>
      </patternFill>
    </fill>
    <fill>
      <patternFill patternType="solid">
        <fgColor rgb="FFC5E0B4"/>
      </patternFill>
    </fill>
    <fill>
      <patternFill patternType="solid">
        <fgColor rgb="FFDAE3F3"/>
      </patternFill>
    </fill>
    <fill>
      <patternFill patternType="solid">
        <fgColor rgb="FFFFD966"/>
      </patternFill>
    </fill>
    <fill>
      <patternFill patternType="solid">
        <fgColor rgb="FFCC99FF"/>
      </patternFill>
    </fill>
    <fill>
      <patternFill patternType="solid">
        <fgColor rgb="FFCCFFFF"/>
      </patternFill>
    </fill>
    <fill>
      <patternFill patternType="solid">
        <fgColor rgb="FFFFFFCC"/>
      </patternFill>
    </fill>
    <fill>
      <patternFill patternType="solid">
        <fgColor rgb="FFFFFFFF"/>
      </patternFill>
    </fill>
    <fill>
      <patternFill patternType="solid">
        <fgColor rgb="FF66CCFF"/>
      </patternFill>
    </fill>
    <fill>
      <patternFill patternType="solid">
        <fgColor rgb="FFFF0000"/>
        <bgColor indexed="64"/>
      </patternFill>
    </fill>
  </fills>
  <borders count="15">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0" fontId="10" fillId="0" borderId="0" applyNumberFormat="0" applyFill="0" applyBorder="0" applyAlignment="0" applyProtection="0"/>
  </cellStyleXfs>
  <cellXfs count="120">
    <xf numFmtId="0" fontId="0" fillId="0" borderId="0" xfId="0"/>
    <xf numFmtId="0" fontId="0" fillId="0" borderId="0" xfId="0" applyAlignment="1">
      <alignment wrapText="1"/>
    </xf>
    <xf numFmtId="3" fontId="1" fillId="0" borderId="1" xfId="0" applyNumberFormat="1"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4" fontId="1" fillId="2" borderId="5" xfId="0" applyNumberFormat="1" applyFont="1" applyFill="1" applyBorder="1" applyAlignment="1">
      <alignment horizontal="center" wrapText="1"/>
    </xf>
    <xf numFmtId="0" fontId="1" fillId="2" borderId="6" xfId="0" applyFont="1" applyFill="1" applyBorder="1" applyAlignment="1">
      <alignment horizontal="center" wrapText="1"/>
    </xf>
    <xf numFmtId="3" fontId="1" fillId="0" borderId="7" xfId="0" applyNumberFormat="1" applyFont="1" applyBorder="1" applyAlignment="1">
      <alignment horizontal="center" wrapText="1"/>
    </xf>
    <xf numFmtId="1" fontId="1" fillId="0" borderId="8" xfId="0" applyNumberFormat="1" applyFont="1" applyBorder="1" applyAlignment="1">
      <alignment horizontal="center" wrapText="1"/>
    </xf>
    <xf numFmtId="1" fontId="1" fillId="0" borderId="2" xfId="0" applyNumberFormat="1" applyFont="1" applyBorder="1" applyAlignment="1">
      <alignment horizontal="center" wrapText="1"/>
    </xf>
    <xf numFmtId="1" fontId="1" fillId="0" borderId="3" xfId="0" applyNumberFormat="1" applyFont="1" applyBorder="1" applyAlignment="1">
      <alignment horizontal="center" wrapText="1"/>
    </xf>
    <xf numFmtId="0" fontId="0" fillId="0" borderId="0" xfId="0" applyAlignment="1">
      <alignment wrapText="1"/>
    </xf>
    <xf numFmtId="3" fontId="2" fillId="0" borderId="9" xfId="0" applyNumberFormat="1" applyFont="1" applyBorder="1" applyAlignment="1">
      <alignment horizontal="center" wrapText="1"/>
    </xf>
    <xf numFmtId="0" fontId="2" fillId="3" borderId="10" xfId="0" applyFont="1" applyFill="1" applyBorder="1" applyAlignment="1">
      <alignment horizontal="center" wrapText="1"/>
    </xf>
    <xf numFmtId="4" fontId="2" fillId="3" borderId="10" xfId="0" applyNumberFormat="1" applyFont="1" applyFill="1" applyBorder="1" applyAlignment="1">
      <alignment horizontal="center" wrapText="1"/>
    </xf>
    <xf numFmtId="3" fontId="2" fillId="0" borderId="11" xfId="0" applyNumberFormat="1" applyFont="1" applyBorder="1" applyAlignment="1">
      <alignment horizontal="center" wrapText="1"/>
    </xf>
    <xf numFmtId="1" fontId="2" fillId="3" borderId="11" xfId="0" applyNumberFormat="1" applyFont="1" applyFill="1" applyBorder="1" applyAlignment="1">
      <alignment horizontal="center" wrapText="1"/>
    </xf>
    <xf numFmtId="3" fontId="2" fillId="3" borderId="10" xfId="0" applyNumberFormat="1" applyFont="1" applyFill="1" applyBorder="1" applyAlignment="1">
      <alignment horizontal="center" wrapText="1"/>
    </xf>
    <xf numFmtId="0" fontId="2" fillId="0" borderId="9" xfId="0" applyFont="1" applyBorder="1" applyAlignment="1">
      <alignment horizontal="center" wrapText="1"/>
    </xf>
    <xf numFmtId="1" fontId="2" fillId="0" borderId="11" xfId="0" applyNumberFormat="1" applyFont="1" applyBorder="1" applyAlignment="1">
      <alignment horizontal="center" wrapText="1"/>
    </xf>
    <xf numFmtId="0" fontId="2" fillId="4" borderId="10" xfId="0" applyFont="1" applyFill="1" applyBorder="1" applyAlignment="1">
      <alignment horizontal="center" wrapText="1"/>
    </xf>
    <xf numFmtId="4" fontId="2" fillId="4" borderId="10" xfId="0" applyNumberFormat="1" applyFont="1" applyFill="1" applyBorder="1" applyAlignment="1">
      <alignment horizontal="center" wrapText="1"/>
    </xf>
    <xf numFmtId="3" fontId="3" fillId="0" borderId="11" xfId="0" applyNumberFormat="1" applyFont="1" applyBorder="1" applyAlignment="1">
      <alignment horizontal="center" wrapText="1"/>
    </xf>
    <xf numFmtId="1" fontId="2" fillId="4" borderId="11" xfId="0" applyNumberFormat="1" applyFont="1" applyFill="1" applyBorder="1" applyAlignment="1">
      <alignment horizontal="center" wrapText="1"/>
    </xf>
    <xf numFmtId="3" fontId="2" fillId="4" borderId="10" xfId="0" applyNumberFormat="1" applyFont="1" applyFill="1" applyBorder="1" applyAlignment="1">
      <alignment horizontal="center" wrapText="1"/>
    </xf>
    <xf numFmtId="4" fontId="2" fillId="0" borderId="9" xfId="0" applyNumberFormat="1" applyFont="1" applyBorder="1" applyAlignment="1">
      <alignment horizontal="center" wrapText="1"/>
    </xf>
    <xf numFmtId="0" fontId="2" fillId="5" borderId="11" xfId="0" applyFont="1" applyFill="1" applyBorder="1" applyAlignment="1">
      <alignment horizontal="center" wrapText="1"/>
    </xf>
    <xf numFmtId="4" fontId="2" fillId="5" borderId="11" xfId="0" applyNumberFormat="1" applyFont="1" applyFill="1" applyBorder="1" applyAlignment="1">
      <alignment horizontal="center" wrapText="1"/>
    </xf>
    <xf numFmtId="1" fontId="2" fillId="5" borderId="11" xfId="0" applyNumberFormat="1" applyFont="1" applyFill="1" applyBorder="1" applyAlignment="1">
      <alignment horizontal="center" wrapText="1"/>
    </xf>
    <xf numFmtId="4" fontId="2" fillId="0" borderId="11" xfId="0" applyNumberFormat="1" applyFont="1" applyBorder="1" applyAlignment="1">
      <alignment horizontal="center" wrapText="1"/>
    </xf>
    <xf numFmtId="3" fontId="3" fillId="0" borderId="12" xfId="0" applyNumberFormat="1" applyFont="1" applyBorder="1" applyAlignment="1">
      <alignment horizontal="center" wrapText="1"/>
    </xf>
    <xf numFmtId="0" fontId="3" fillId="0" borderId="12" xfId="0" applyFont="1" applyBorder="1" applyAlignment="1">
      <alignment horizontal="center" wrapText="1"/>
    </xf>
    <xf numFmtId="3" fontId="2" fillId="5" borderId="11" xfId="0" applyNumberFormat="1" applyFont="1" applyFill="1" applyBorder="1" applyAlignment="1">
      <alignment horizontal="center" wrapText="1"/>
    </xf>
    <xf numFmtId="0" fontId="2" fillId="0" borderId="11" xfId="0" applyFont="1" applyBorder="1" applyAlignment="1">
      <alignment horizontal="center" wrapText="1"/>
    </xf>
    <xf numFmtId="0" fontId="2" fillId="6" borderId="10" xfId="0" applyFont="1" applyFill="1" applyBorder="1" applyAlignment="1">
      <alignment horizontal="center" wrapText="1"/>
    </xf>
    <xf numFmtId="4" fontId="2" fillId="6" borderId="10" xfId="0" applyNumberFormat="1" applyFont="1" applyFill="1" applyBorder="1" applyAlignment="1">
      <alignment horizontal="center" wrapText="1"/>
    </xf>
    <xf numFmtId="3" fontId="3" fillId="0" borderId="11" xfId="0" applyNumberFormat="1" applyFont="1" applyBorder="1" applyAlignment="1">
      <alignment horizontal="center"/>
    </xf>
    <xf numFmtId="1" fontId="2" fillId="6" borderId="11" xfId="0" applyNumberFormat="1" applyFont="1" applyFill="1" applyBorder="1" applyAlignment="1">
      <alignment horizontal="center" wrapText="1"/>
    </xf>
    <xf numFmtId="0" fontId="0" fillId="0" borderId="0" xfId="0" applyAlignment="1"/>
    <xf numFmtId="3" fontId="2" fillId="6" borderId="10" xfId="0" applyNumberFormat="1" applyFont="1" applyFill="1" applyBorder="1" applyAlignment="1">
      <alignment horizontal="center" wrapText="1"/>
    </xf>
    <xf numFmtId="3" fontId="2" fillId="0" borderId="11" xfId="0" applyNumberFormat="1" applyFont="1" applyBorder="1" applyAlignment="1">
      <alignment horizontal="center"/>
    </xf>
    <xf numFmtId="0" fontId="2" fillId="7" borderId="10" xfId="0" applyFont="1" applyFill="1" applyBorder="1" applyAlignment="1">
      <alignment horizontal="center" wrapText="1"/>
    </xf>
    <xf numFmtId="4" fontId="2" fillId="7" borderId="10" xfId="0" applyNumberFormat="1" applyFont="1" applyFill="1" applyBorder="1" applyAlignment="1">
      <alignment horizontal="center" wrapText="1"/>
    </xf>
    <xf numFmtId="1" fontId="2" fillId="7" borderId="11" xfId="0" applyNumberFormat="1" applyFont="1" applyFill="1" applyBorder="1" applyAlignment="1">
      <alignment horizontal="center" wrapText="1"/>
    </xf>
    <xf numFmtId="3" fontId="2" fillId="7" borderId="10" xfId="0" applyNumberFormat="1" applyFont="1" applyFill="1" applyBorder="1" applyAlignment="1">
      <alignment horizontal="center" wrapText="1"/>
    </xf>
    <xf numFmtId="0" fontId="2" fillId="7" borderId="11" xfId="0" applyFont="1" applyFill="1" applyBorder="1" applyAlignment="1">
      <alignment horizontal="center" wrapText="1"/>
    </xf>
    <xf numFmtId="0" fontId="2" fillId="7" borderId="13" xfId="0" applyFont="1" applyFill="1" applyBorder="1" applyAlignment="1">
      <alignment horizontal="center" wrapText="1"/>
    </xf>
    <xf numFmtId="0" fontId="4" fillId="0" borderId="2" xfId="0" applyFont="1" applyBorder="1" applyAlignment="1">
      <alignment horizontal="center" wrapText="1"/>
    </xf>
    <xf numFmtId="0" fontId="4" fillId="0" borderId="7" xfId="0" applyFont="1" applyBorder="1" applyAlignment="1">
      <alignment horizontal="center" wrapText="1"/>
    </xf>
    <xf numFmtId="0" fontId="4" fillId="0" borderId="9" xfId="0" applyFont="1" applyBorder="1" applyAlignment="1">
      <alignment horizontal="center" wrapText="1"/>
    </xf>
    <xf numFmtId="0" fontId="2" fillId="8" borderId="11" xfId="0" applyFont="1" applyFill="1" applyBorder="1" applyAlignment="1">
      <alignment horizontal="center" wrapText="1"/>
    </xf>
    <xf numFmtId="4" fontId="2" fillId="8" borderId="11" xfId="0" applyNumberFormat="1" applyFont="1" applyFill="1" applyBorder="1" applyAlignment="1">
      <alignment horizontal="center" wrapText="1"/>
    </xf>
    <xf numFmtId="1" fontId="2" fillId="8" borderId="11" xfId="0" applyNumberFormat="1" applyFont="1" applyFill="1" applyBorder="1" applyAlignment="1">
      <alignment horizontal="center" wrapText="1"/>
    </xf>
    <xf numFmtId="0" fontId="5" fillId="8" borderId="11" xfId="0" applyFont="1" applyFill="1" applyBorder="1" applyAlignment="1">
      <alignment horizontal="center" wrapText="1"/>
    </xf>
    <xf numFmtId="3" fontId="2" fillId="8" borderId="11" xfId="0" applyNumberFormat="1" applyFont="1" applyFill="1" applyBorder="1" applyAlignment="1">
      <alignment horizontal="center" wrapText="1"/>
    </xf>
    <xf numFmtId="0" fontId="2" fillId="9" borderId="11" xfId="0" applyFont="1" applyFill="1" applyBorder="1" applyAlignment="1">
      <alignment horizontal="center" wrapText="1"/>
    </xf>
    <xf numFmtId="4" fontId="2" fillId="9" borderId="11" xfId="0" applyNumberFormat="1" applyFont="1" applyFill="1" applyBorder="1" applyAlignment="1">
      <alignment horizontal="center" wrapText="1"/>
    </xf>
    <xf numFmtId="164" fontId="2" fillId="9" borderId="11" xfId="0" applyNumberFormat="1" applyFont="1" applyFill="1" applyBorder="1" applyAlignment="1">
      <alignment horizontal="center" wrapText="1"/>
    </xf>
    <xf numFmtId="3" fontId="2" fillId="9" borderId="11" xfId="0" applyNumberFormat="1" applyFont="1" applyFill="1" applyBorder="1" applyAlignment="1">
      <alignment horizontal="center" wrapText="1"/>
    </xf>
    <xf numFmtId="164" fontId="2" fillId="0" borderId="11" xfId="0" applyNumberFormat="1" applyFont="1" applyBorder="1" applyAlignment="1">
      <alignment horizontal="center" wrapText="1"/>
    </xf>
    <xf numFmtId="0" fontId="2" fillId="9" borderId="10" xfId="0" applyFont="1" applyFill="1" applyBorder="1" applyAlignment="1">
      <alignment horizontal="center" wrapText="1"/>
    </xf>
    <xf numFmtId="3" fontId="6" fillId="0" borderId="11" xfId="0" applyNumberFormat="1" applyFont="1" applyBorder="1" applyAlignment="1">
      <alignment horizontal="center" wrapText="1"/>
    </xf>
    <xf numFmtId="164" fontId="5" fillId="9" borderId="11" xfId="0" applyNumberFormat="1" applyFont="1" applyFill="1" applyBorder="1" applyAlignment="1">
      <alignment horizontal="center" wrapText="1"/>
    </xf>
    <xf numFmtId="0" fontId="2" fillId="10" borderId="10" xfId="0" applyFont="1" applyFill="1" applyBorder="1" applyAlignment="1">
      <alignment horizontal="center" wrapText="1"/>
    </xf>
    <xf numFmtId="4" fontId="2" fillId="10" borderId="10" xfId="0" applyNumberFormat="1" applyFont="1" applyFill="1" applyBorder="1" applyAlignment="1">
      <alignment horizontal="center" wrapText="1"/>
    </xf>
    <xf numFmtId="0" fontId="2" fillId="10" borderId="11" xfId="0" applyFont="1" applyFill="1" applyBorder="1" applyAlignment="1">
      <alignment horizontal="center" wrapText="1"/>
    </xf>
    <xf numFmtId="3" fontId="2" fillId="0" borderId="12" xfId="0" applyNumberFormat="1" applyFont="1" applyBorder="1" applyAlignment="1">
      <alignment horizontal="center"/>
    </xf>
    <xf numFmtId="1" fontId="2" fillId="10" borderId="11" xfId="0" applyNumberFormat="1" applyFont="1" applyFill="1" applyBorder="1" applyAlignment="1">
      <alignment horizontal="center" wrapText="1"/>
    </xf>
    <xf numFmtId="3" fontId="2" fillId="10" borderId="10" xfId="0" applyNumberFormat="1" applyFont="1" applyFill="1" applyBorder="1" applyAlignment="1">
      <alignment horizontal="center" wrapText="1"/>
    </xf>
    <xf numFmtId="3" fontId="2" fillId="10" borderId="11" xfId="0" applyNumberFormat="1" applyFont="1" applyFill="1" applyBorder="1" applyAlignment="1">
      <alignment horizontal="center" wrapText="1"/>
    </xf>
    <xf numFmtId="1" fontId="2" fillId="0" borderId="9" xfId="0" applyNumberFormat="1" applyFont="1" applyBorder="1" applyAlignment="1">
      <alignment horizontal="center" wrapText="1"/>
    </xf>
    <xf numFmtId="0" fontId="2" fillId="11" borderId="10" xfId="0" applyFont="1" applyFill="1" applyBorder="1" applyAlignment="1">
      <alignment horizontal="center" wrapText="1"/>
    </xf>
    <xf numFmtId="4" fontId="2" fillId="11" borderId="10" xfId="0" applyNumberFormat="1" applyFont="1" applyFill="1" applyBorder="1" applyAlignment="1">
      <alignment horizontal="center" wrapText="1"/>
    </xf>
    <xf numFmtId="1" fontId="2" fillId="11" borderId="10" xfId="0" applyNumberFormat="1" applyFont="1" applyFill="1" applyBorder="1" applyAlignment="1">
      <alignment horizontal="center" wrapText="1"/>
    </xf>
    <xf numFmtId="3" fontId="2" fillId="11" borderId="10" xfId="0" applyNumberFormat="1" applyFont="1" applyFill="1" applyBorder="1" applyAlignment="1">
      <alignment horizontal="center" wrapText="1"/>
    </xf>
    <xf numFmtId="3" fontId="2" fillId="12" borderId="10" xfId="0" applyNumberFormat="1" applyFont="1" applyFill="1" applyBorder="1" applyAlignment="1">
      <alignment horizontal="center" wrapText="1"/>
    </xf>
    <xf numFmtId="3" fontId="2" fillId="12" borderId="14" xfId="0" applyNumberFormat="1" applyFont="1" applyFill="1" applyBorder="1" applyAlignment="1">
      <alignment horizontal="center"/>
    </xf>
    <xf numFmtId="4" fontId="2" fillId="0" borderId="12" xfId="0" applyNumberFormat="1" applyFont="1" applyBorder="1" applyAlignment="1">
      <alignment horizontal="center"/>
    </xf>
    <xf numFmtId="0" fontId="2" fillId="13" borderId="11" xfId="0" applyFont="1" applyFill="1" applyBorder="1" applyAlignment="1">
      <alignment horizontal="center" wrapText="1"/>
    </xf>
    <xf numFmtId="3" fontId="2" fillId="13" borderId="11" xfId="0" applyNumberFormat="1" applyFont="1" applyFill="1" applyBorder="1" applyAlignment="1">
      <alignment horizontal="center" wrapText="1"/>
    </xf>
    <xf numFmtId="1" fontId="2" fillId="13" borderId="11" xfId="0" applyNumberFormat="1" applyFont="1" applyFill="1" applyBorder="1" applyAlignment="1">
      <alignment horizontal="center" wrapText="1"/>
    </xf>
    <xf numFmtId="4" fontId="2" fillId="13" borderId="11" xfId="0" applyNumberFormat="1" applyFont="1" applyFill="1" applyBorder="1" applyAlignment="1">
      <alignment horizontal="center" wrapText="1"/>
    </xf>
    <xf numFmtId="3" fontId="0" fillId="0" borderId="0" xfId="0" applyNumberFormat="1" applyAlignment="1">
      <alignment horizontal="center" wrapText="1"/>
    </xf>
    <xf numFmtId="0" fontId="0" fillId="0" borderId="0" xfId="0" applyAlignment="1">
      <alignment horizontal="center" wrapText="1"/>
    </xf>
    <xf numFmtId="4" fontId="0" fillId="0" borderId="0" xfId="0" applyNumberFormat="1" applyAlignment="1">
      <alignment horizontal="center" wrapText="1"/>
    </xf>
    <xf numFmtId="3" fontId="0" fillId="0" borderId="0" xfId="0" applyNumberFormat="1" applyAlignment="1">
      <alignment horizontal="center"/>
    </xf>
    <xf numFmtId="1" fontId="0" fillId="0" borderId="0" xfId="0" applyNumberFormat="1" applyAlignment="1">
      <alignment horizontal="center" wrapText="1"/>
    </xf>
    <xf numFmtId="0" fontId="0" fillId="0" borderId="0" xfId="0" applyAlignment="1">
      <alignment wrapText="1"/>
    </xf>
    <xf numFmtId="0" fontId="0" fillId="0" borderId="0" xfId="0" applyAlignment="1"/>
    <xf numFmtId="0" fontId="10" fillId="3" borderId="10" xfId="1" applyFill="1" applyBorder="1" applyAlignment="1">
      <alignment horizontal="center" wrapText="1"/>
    </xf>
    <xf numFmtId="0" fontId="10" fillId="0" borderId="9" xfId="1" applyBorder="1" applyAlignment="1">
      <alignment horizontal="center" wrapText="1"/>
    </xf>
    <xf numFmtId="0" fontId="10" fillId="13" borderId="11" xfId="1" applyFill="1" applyBorder="1" applyAlignment="1">
      <alignment horizontal="center" wrapText="1"/>
    </xf>
    <xf numFmtId="3" fontId="11" fillId="14" borderId="9" xfId="0" applyNumberFormat="1" applyFont="1" applyFill="1" applyBorder="1" applyAlignment="1">
      <alignment horizontal="center" wrapText="1"/>
    </xf>
    <xf numFmtId="0" fontId="11" fillId="14" borderId="11" xfId="0" applyFont="1" applyFill="1" applyBorder="1" applyAlignment="1">
      <alignment horizontal="center" wrapText="1"/>
    </xf>
    <xf numFmtId="3" fontId="11" fillId="14" borderId="11" xfId="0" applyNumberFormat="1" applyFont="1" applyFill="1" applyBorder="1" applyAlignment="1">
      <alignment horizontal="center" wrapText="1"/>
    </xf>
    <xf numFmtId="0" fontId="12" fillId="14" borderId="11" xfId="1" applyFont="1" applyFill="1" applyBorder="1" applyAlignment="1">
      <alignment horizontal="center" wrapText="1"/>
    </xf>
    <xf numFmtId="3" fontId="11" fillId="14" borderId="12" xfId="0" applyNumberFormat="1" applyFont="1" applyFill="1" applyBorder="1" applyAlignment="1">
      <alignment horizontal="center"/>
    </xf>
    <xf numFmtId="1" fontId="11" fillId="14" borderId="11" xfId="0" applyNumberFormat="1" applyFont="1" applyFill="1" applyBorder="1" applyAlignment="1">
      <alignment horizontal="center" wrapText="1"/>
    </xf>
    <xf numFmtId="0" fontId="13" fillId="14" borderId="0" xfId="0" applyFont="1" applyFill="1" applyAlignment="1">
      <alignment wrapText="1"/>
    </xf>
    <xf numFmtId="0" fontId="13" fillId="14" borderId="0" xfId="0" applyFont="1" applyFill="1" applyAlignment="1"/>
    <xf numFmtId="0" fontId="13" fillId="14" borderId="0" xfId="0" applyFont="1" applyFill="1"/>
    <xf numFmtId="4" fontId="11" fillId="14" borderId="11" xfId="0" applyNumberFormat="1" applyFont="1" applyFill="1" applyBorder="1" applyAlignment="1">
      <alignment horizontal="center" wrapText="1"/>
    </xf>
    <xf numFmtId="0" fontId="10" fillId="11" borderId="10" xfId="1" applyFill="1" applyBorder="1" applyAlignment="1">
      <alignment horizontal="center" wrapText="1"/>
    </xf>
    <xf numFmtId="0" fontId="10" fillId="10" borderId="10" xfId="1" applyFill="1" applyBorder="1" applyAlignment="1">
      <alignment horizontal="center" wrapText="1"/>
    </xf>
    <xf numFmtId="0" fontId="10" fillId="10" borderId="11" xfId="1" applyFill="1" applyBorder="1" applyAlignment="1">
      <alignment horizontal="center" wrapText="1"/>
    </xf>
    <xf numFmtId="0" fontId="10" fillId="9" borderId="11" xfId="1" applyFill="1" applyBorder="1" applyAlignment="1">
      <alignment horizontal="center" wrapText="1"/>
    </xf>
    <xf numFmtId="0" fontId="10" fillId="0" borderId="11" xfId="1" applyBorder="1" applyAlignment="1">
      <alignment horizontal="center" wrapText="1"/>
    </xf>
    <xf numFmtId="0" fontId="10" fillId="7" borderId="10" xfId="1" applyFill="1" applyBorder="1" applyAlignment="1">
      <alignment horizontal="center" wrapText="1"/>
    </xf>
    <xf numFmtId="0" fontId="10" fillId="6" borderId="10" xfId="1" applyFill="1" applyBorder="1" applyAlignment="1">
      <alignment horizontal="center" wrapText="1"/>
    </xf>
    <xf numFmtId="0" fontId="10" fillId="4" borderId="10" xfId="1" applyFill="1" applyBorder="1" applyAlignment="1">
      <alignment horizontal="center" wrapText="1"/>
    </xf>
    <xf numFmtId="3" fontId="2" fillId="14" borderId="9" xfId="0" applyNumberFormat="1" applyFont="1" applyFill="1" applyBorder="1" applyAlignment="1">
      <alignment horizontal="center" wrapText="1"/>
    </xf>
    <xf numFmtId="0" fontId="2" fillId="14" borderId="10" xfId="0" applyFont="1" applyFill="1" applyBorder="1" applyAlignment="1">
      <alignment horizontal="center" wrapText="1"/>
    </xf>
    <xf numFmtId="4" fontId="2" fillId="14" borderId="10" xfId="0" applyNumberFormat="1" applyFont="1" applyFill="1" applyBorder="1" applyAlignment="1">
      <alignment horizontal="center" wrapText="1"/>
    </xf>
    <xf numFmtId="3" fontId="3" fillId="14" borderId="11" xfId="0" applyNumberFormat="1" applyFont="1" applyFill="1" applyBorder="1" applyAlignment="1">
      <alignment horizontal="center" wrapText="1"/>
    </xf>
    <xf numFmtId="1" fontId="2" fillId="14" borderId="11" xfId="0" applyNumberFormat="1" applyFont="1" applyFill="1" applyBorder="1" applyAlignment="1">
      <alignment horizontal="center" wrapText="1"/>
    </xf>
    <xf numFmtId="0" fontId="0" fillId="14" borderId="0" xfId="0" applyFill="1" applyAlignment="1">
      <alignment wrapText="1"/>
    </xf>
    <xf numFmtId="0" fontId="10" fillId="14" borderId="10" xfId="1" applyFill="1" applyBorder="1" applyAlignment="1">
      <alignment horizontal="center" wrapText="1"/>
    </xf>
    <xf numFmtId="0" fontId="10" fillId="5" borderId="11" xfId="1" applyFill="1" applyBorder="1" applyAlignment="1">
      <alignment horizont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maps/search/41.323780,+69.444473?entry=tts&amp;g_ep=EgoyMDI1MDMyNS4xIPu8ASoASAFQAw%3D%3D&amp;skid=43f723cd-63c9-4c22-b7b4-01421b36bee9" TargetMode="External"/><Relationship Id="rId299" Type="http://schemas.openxmlformats.org/officeDocument/2006/relationships/hyperlink" Target="https://www.google.com/maps/search/41.284169,+69.293755?entry=tts&amp;g_ep=EgoyMDI1MDUxMi4wIPu8ASoASAFQAw%3D%3D&amp;skid=99ebabaf-64bf-440f-8d49-cb75f13e04cb" TargetMode="External"/><Relationship Id="rId21" Type="http://schemas.openxmlformats.org/officeDocument/2006/relationships/hyperlink" Target="https://www.google.com/maps/search/41.282470,+69.263041?entry=tts&amp;g_ep=EgoyMDI1MDEyOS4xIPu8ASoASAFQAw%3D%3D" TargetMode="External"/><Relationship Id="rId63" Type="http://schemas.openxmlformats.org/officeDocument/2006/relationships/hyperlink" Target="https://www.google.com/maps/place/Kabul+Tekstil',+Katta+Khirmontepa+Street,+Tashkent,+Uzbekistan/@41.2722723,69.1773665,272m/data=!3m1!1e3!4m6!3m5!1s0x38ae899234dcf5df:0x5f964c4d8627ea89!8m2!3d41.2722784!4d69.1775721!16s%2Fg%2F11mgq8fk13?entry=tts&amp;g_ep=EgoyMDI1MDIwMi4wIPu8ASoASAFQAw%3D%3D" TargetMode="External"/><Relationship Id="rId159" Type="http://schemas.openxmlformats.org/officeDocument/2006/relationships/hyperlink" Target="https://www.google.com/maps/search/41.339277,+69.180479?entry=tts&amp;g_ep=EgoyMDI1MDEyOS4xIPu8ASoASAFQAw%3D%3D" TargetMode="External"/><Relationship Id="rId324" Type="http://schemas.openxmlformats.org/officeDocument/2006/relationships/hyperlink" Target="https://www.google.com/maps/search/41.179199,+69.241324?coh=245187&amp;entry=tts&amp;g_ep=EgoyMDI1MDMwNC4wIPu8ASoJLDEwMjExNDUzSAFQAw%3D%3D" TargetMode="External"/><Relationship Id="rId170" Type="http://schemas.openxmlformats.org/officeDocument/2006/relationships/hyperlink" Target="https://www.google.com/maps/search/41.240330,+69.168177?entry=tts&amp;g_ep=EgoyMDI1MDIwMy4wIPu8ASoASAFQAw%3D%3D" TargetMode="External"/><Relationship Id="rId226" Type="http://schemas.openxmlformats.org/officeDocument/2006/relationships/hyperlink" Target="https://www.google.com/maps/search/41.307406,+69.356958?entry=tts&amp;g_ep=EgoyMDI1MDIwMi4wIPu8ASoASAFQAw%3D%3D" TargetMode="External"/><Relationship Id="rId268" Type="http://schemas.openxmlformats.org/officeDocument/2006/relationships/hyperlink" Target="https://www.google.com/maps/place/41%C2%B013'00.4%22N+69%C2%B019'16.8%22E/@41.216787,69.321339,608m/data=!3m2!1e3!4b1!4m4!3m3!8m2!3d41.216787!4d69.321339?entry=ttu&amp;g_ep=EgoyMDI1MDUyMS4wIKXMDSoASAFQAw%3D%3D" TargetMode="External"/><Relationship Id="rId32" Type="http://schemas.openxmlformats.org/officeDocument/2006/relationships/hyperlink" Target="https://www.google.com/maps/search/41.278802,+69.153596?entry=tts&amp;g_ep=EgoyMDI1MDIwMy4wIPu8ASoASAFQAw%3D%3D" TargetMode="External"/><Relationship Id="rId74" Type="http://schemas.openxmlformats.org/officeDocument/2006/relationships/hyperlink" Target="https://www.google.com/maps/search/41.348977,+69.226941?entry=tts&amp;g_ep=EgoyMDI1MDMwNC4wIPu8ASoASAFQAw%3D%3D" TargetMode="External"/><Relationship Id="rId128" Type="http://schemas.openxmlformats.org/officeDocument/2006/relationships/hyperlink" Target="https://www.google.com/maps/search/41.347621,+69.334281?entry=tts&amp;g_ep=EgoyMDI1MDMyNS4xIPu8ASoASAFQAw%3D%3D&amp;skid=655dda67-feb4-49ee-843c-9641f07e20a7" TargetMode="External"/><Relationship Id="rId5" Type="http://schemas.openxmlformats.org/officeDocument/2006/relationships/hyperlink" Target="https://www.google.com/maps/search/41.294155,+69.240934?coh=219680&amp;utm_campaign=tt-rcs&amp;entry=tts&amp;g_ep=EgoyMDI1MDMwNC4wIPu8ASoASAFQAw%3D%3D" TargetMode="External"/><Relationship Id="rId181" Type="http://schemas.openxmlformats.org/officeDocument/2006/relationships/hyperlink" Target="https://www.google.com/maps/search/41.265876,+69.201460?entry=tts&amp;g_ep=EgoyMDI1MDIwMy4wIPu8ASoASAFQAw%3D%3D" TargetMode="External"/><Relationship Id="rId237" Type="http://schemas.openxmlformats.org/officeDocument/2006/relationships/hyperlink" Target="https://www.google.com/maps/place/Aviasozlar/@41.2855802,69.3438622,888m/data=!3m1!1e3!4m6!3m5!1s0x38aef588b86e865d:0xe3fd0e31192d8b91!8m2!3d41.2853546!4d69.3491897!16s%2Fg%2F1tcwdbtv?entry=tts&amp;g_ep=EgoyMDI1MDEyOS4xIPu8ASoASAFQAw%3D%3D" TargetMode="External"/><Relationship Id="rId279" Type="http://schemas.openxmlformats.org/officeDocument/2006/relationships/hyperlink" Target="https://www.google.ru/maps/place/41%C2%B015'40.8%22N+69%C2%B014'51.0%22E/@41.261345,69.247485,17z/data=!3m1!4b1!4m4!3m3!8m2!3d41.261345!4d69.247485?entry=ttu&amp;g_ep=EgoyMDI1MDUyMS4wIKXMDSoASAFQAw%3D%3D" TargetMode="External"/><Relationship Id="rId43" Type="http://schemas.openxmlformats.org/officeDocument/2006/relationships/hyperlink" Target="https://www.google.com/maps/search/41.304628,+69.190394?entry=tts&amp;g_ep=EgoyMDI1MDUyMS4wIPu8ASoASAFQAw%3D%3D&amp;skid=47f0978d-dbcc-40a9-b3c2-7c95d13aa3fd" TargetMode="External"/><Relationship Id="rId139" Type="http://schemas.openxmlformats.org/officeDocument/2006/relationships/hyperlink" Target="https://www.google.com/maps/search/41.309419,+69.201735?entry=tts&amp;g_ep=EgoyMDI1MDIwMi4wIPu8ASoJLDEwMjExMjM0SAFQAw%3D%3D" TargetMode="External"/><Relationship Id="rId290" Type="http://schemas.openxmlformats.org/officeDocument/2006/relationships/hyperlink" Target="https://www.google.com/maps/place/41%C2%B014'03.2%22N+69%C2%B012'38.2%22E/@41.234234,69.210607,608m/data=!3m2!1e3!4b1!4m4!3m3!8m2!3d41.234234!4d69.210607?entry=ttu&amp;g_ep=EgoyMDI1MDUyMS4wIKXMDSoASAFQAw%3D%3D" TargetMode="External"/><Relationship Id="rId304" Type="http://schemas.openxmlformats.org/officeDocument/2006/relationships/hyperlink" Target="https://www.google.com/maps/search/41.228310,+69.187143?coh=245187&amp;entry=tts&amp;g_ep=EgoyMDI1MDMwNC4wIPu8ASoJLDEwMjExNDUzSAFQAw%3D%3D" TargetMode="External"/><Relationship Id="rId85" Type="http://schemas.openxmlformats.org/officeDocument/2006/relationships/hyperlink" Target="https://www.google.by/maps/search/41.348389,+69.263994?coh=219680&amp;utm_campaign=tt-rcs&amp;entry=tts&amp;g_ep=EgoyMDI1MDEyOS4xIPu8ASoASAFQAw%3D%3D" TargetMode="External"/><Relationship Id="rId150" Type="http://schemas.openxmlformats.org/officeDocument/2006/relationships/hyperlink" Target="https://www.google.com/maps/search/41.325099,+69.214227?entry=tts&amp;g_ep=EgoyMDI1MDIwMi4wIPu8ASoASAFQAw%3D%3D" TargetMode="External"/><Relationship Id="rId192" Type="http://schemas.openxmlformats.org/officeDocument/2006/relationships/hyperlink" Target="https://www.google.com/maps/search/41.304583,+69.248403?entry=tts&amp;g_ep=EgoyMDI1MDIwMy4wIPu8ASoASAFQAw%3D%3D" TargetMode="External"/><Relationship Id="rId206" Type="http://schemas.openxmlformats.org/officeDocument/2006/relationships/hyperlink" Target="https://www.google.com/maps/search/41.249824,+69.324584?entry=tts&amp;g_ep=EgoyMDI1MDUxMy4xIPu8ASoASAFQAw%3D%3D&amp;skid=5b16398f-8dfe-4941-b78a-f9a6bbd61250" TargetMode="External"/><Relationship Id="rId248" Type="http://schemas.openxmlformats.org/officeDocument/2006/relationships/hyperlink" Target="https://www.google.com/maps/place/41%C2%B014'27.6%22N+69%C2%B020'32.6%22E/@41.240998,69.342384,608m/data=!3m2!1e3!4b1!4m4!3m3!8m2!3d41.240998!4d69.342384?entry=ttu&amp;g_ep=EgoyMDI1MDUyMS4wIKXMDSoASAFQAw%3D%3D" TargetMode="External"/><Relationship Id="rId12" Type="http://schemas.openxmlformats.org/officeDocument/2006/relationships/hyperlink" Target="https://www.google.com/maps/search/41.275408,+69.227929?coh=219680&amp;utm_campaign=tt-rcs&amp;entry=tts&amp;g_ep=EgoyMDI1MDMwNC4wIPu8ASoASAFQAw%3D%3D" TargetMode="External"/><Relationship Id="rId108" Type="http://schemas.openxmlformats.org/officeDocument/2006/relationships/hyperlink" Target="https://www.google.com/maps/search/41.333619,+69.374224?entry=tts&amp;g_ep=EgoyMDI1MDQxNC4xIPu8ASoASAFQAw%3D%3D&amp;skid=5f84e9b9-9a74-4e30-81f3-90a8fc580b49" TargetMode="External"/><Relationship Id="rId315" Type="http://schemas.openxmlformats.org/officeDocument/2006/relationships/hyperlink" Target="https://www.google.com/maps/search/41.180612,+69.202558?coh=245187&amp;entry=tts&amp;g_ep=EgoyMDI1MDMwNC4wIPu8ASoJLDEwMjExNDUzSAFQAw%3D%3D" TargetMode="External"/><Relationship Id="rId54" Type="http://schemas.openxmlformats.org/officeDocument/2006/relationships/hyperlink" Target="https://www.google.com/maps/search/41.283571,+69.191866?entry=tts&amp;g_ep=EgoyMDI1MDIwMi4wIPu8ASoASAFQAw%3D%3D" TargetMode="External"/><Relationship Id="rId96" Type="http://schemas.openxmlformats.org/officeDocument/2006/relationships/hyperlink" Target="https://www.google.com/maps/search/41.348968,+69.328601?entry=tts&amp;g_ep=EgoyMDI1MDUxMi4wIPu8ASoASAFQAw%3D%3D&amp;skid=10d3fe46-5c47-452e-a13f-11b6720f9d6b" TargetMode="External"/><Relationship Id="rId161" Type="http://schemas.openxmlformats.org/officeDocument/2006/relationships/hyperlink" Target="https://www.google.com/maps/search/41.338668,+69.171459?entry=tts&amp;g_ep=EgoyMDI1MDEyOS4xIPu8ASoASAFQAw%3D%3D" TargetMode="External"/><Relationship Id="rId217" Type="http://schemas.openxmlformats.org/officeDocument/2006/relationships/hyperlink" Target="https://www.google.com/maps/search/41.270750,+69.313731?coh=245189&amp;entry=tts&amp;g_ep=EgoyMDI1MDIxOS4xIPu8ASoJLDEwMjExNDU1SAFQAw%3D%3D" TargetMode="External"/><Relationship Id="rId259" Type="http://schemas.openxmlformats.org/officeDocument/2006/relationships/hyperlink" Target="https://www.google.com/maps/place/41%C2%B014'42.4%22N+69%C2%B022'05.5%22E/@41.245117,69.368203,608m/data=!3m2!1e3!4b1!4m4!3m3!8m2!3d41.245117!4d69.368203?entry=ttu&amp;g_ep=EgoyMDI1MDUyMS4wIKXMDSoASAFQAw%3D%3D" TargetMode="External"/><Relationship Id="rId23" Type="http://schemas.openxmlformats.org/officeDocument/2006/relationships/hyperlink" Target="https://www.google.com/maps/search/41.265010,+69.243166?entry=tts&amp;g_ep=EgoyMDI1MDEyOS4xIPu8ASoASAFQAw%3D%3D" TargetMode="External"/><Relationship Id="rId119" Type="http://schemas.openxmlformats.org/officeDocument/2006/relationships/hyperlink" Target="https://www.google.com/maps/search/41.349075,+69.371348?entry=tts&amp;g_ep=EgoyMDI1MDMyNS4xIPu8ASoASAFQAw%3D%3D&amp;skid=efe39d8c-d645-4284-bd7a-66cfc4e1fa6d" TargetMode="External"/><Relationship Id="rId270" Type="http://schemas.openxmlformats.org/officeDocument/2006/relationships/hyperlink" Target="https://www.google.ru/maps/place/41%C2%B014'05.8%22N+69%C2%B011'57.5%22E/@41.234949,69.199302,17z/data=!3m1!4b1!4m4!3m3!8m2!3d41.234949!4d69.199302?entry=ttu&amp;g_ep=EgoyMDI1MDUyMS4wIKXMDSoASAFQAw%3D%3D" TargetMode="External"/><Relationship Id="rId326" Type="http://schemas.openxmlformats.org/officeDocument/2006/relationships/hyperlink" Target="https://www.google.com/maps/search/41.175535,+69.215548?entry=tts&amp;g_ep=EgoyMDI1MDUxMi4wIPu8ASoASAFQAw%3D%3D&amp;skid=2bfc2f5d-5432-416a-97cd-e46bb5719aae" TargetMode="External"/><Relationship Id="rId65" Type="http://schemas.openxmlformats.org/officeDocument/2006/relationships/hyperlink" Target="https://www.google.com/maps/search/41.335962,+69.213339?entry=tts&amp;g_ep=EgoyMDI1MDUxMy4xIPu8ASoASAFQAw%3D%3D&amp;skid=3f20e1c3-cefb-468a-8979-5bf255d83617" TargetMode="External"/><Relationship Id="rId130" Type="http://schemas.openxmlformats.org/officeDocument/2006/relationships/hyperlink" Target="https://www.google.com/maps/search/41.323531,+69.325085?entry=tts&amp;g_ep=EgoyMDI1MDMyNS4xIPu8ASoASAFQAw%3D%3D&amp;skid=7c092eff-a79f-4b50-b447-664485df78e7" TargetMode="External"/><Relationship Id="rId172" Type="http://schemas.openxmlformats.org/officeDocument/2006/relationships/hyperlink" Target="https://www.google.com/maps/search/41.260273,+69.150711?entry=tts&amp;g_ep=EgoyMDI1MDIwMy4wIPu8ASoASAFQAw%3D%3D" TargetMode="External"/><Relationship Id="rId228" Type="http://schemas.openxmlformats.org/officeDocument/2006/relationships/hyperlink" Target="https://www.google.com/maps/search/41.291724,+69.362064?entry=tts&amp;g_ep=EgoyMDI1MDEyOS4xIPu8ASoASAFQAw%3D%3D" TargetMode="External"/><Relationship Id="rId281" Type="http://schemas.openxmlformats.org/officeDocument/2006/relationships/hyperlink" Target="https://www.google.ru/maps/search/41.213369,+69.252449?entry=tts&amp;g_ep=EgoyMDI1MDEyOS4xIPu8ASoASAFQAw%3D%3D" TargetMode="External"/><Relationship Id="rId34" Type="http://schemas.openxmlformats.org/officeDocument/2006/relationships/hyperlink" Target="https://www.google.com/maps/search/41.284468,+69.147912?entry=tts&amp;g_ep=EgoyMDI1MDIwMi4wIPu8ASoASAFQAw%3D%3D" TargetMode="External"/><Relationship Id="rId76" Type="http://schemas.openxmlformats.org/officeDocument/2006/relationships/hyperlink" Target="https://www.google.com/maps/search/41.356395,+69.216911?entry=tts&amp;g_ep=EgoyMDI1MDMwNC4wIPu8ASoASAFQAw%3D%3D" TargetMode="External"/><Relationship Id="rId141" Type="http://schemas.openxmlformats.org/officeDocument/2006/relationships/hyperlink" Target="https://www.google.com/maps/search/41.337175,+69.270121?entry=tts&amp;g_ep=EgoyMDI1MDIwMi4wIPu8ASoASAFQAw%3D%3D" TargetMode="External"/><Relationship Id="rId7" Type="http://schemas.openxmlformats.org/officeDocument/2006/relationships/hyperlink" Target="https://www.google.com/maps/search/41.269660,+69.280362?entry=tts&amp;g_ep=EgoyMDI1MDUxNS4xIPu8ASoASAFQAw%3D%3D&amp;skid=f451feb0-627f-4227-978c-e3f381537c0d" TargetMode="External"/><Relationship Id="rId183" Type="http://schemas.openxmlformats.org/officeDocument/2006/relationships/hyperlink" Target="https://www.google.com/maps/search/41.268107,+69.220483?entry=tts&amp;g_ep=EgoyMDI1MDIwMy4wIPu8ASoASAFQAw%3D%3D" TargetMode="External"/><Relationship Id="rId239" Type="http://schemas.openxmlformats.org/officeDocument/2006/relationships/hyperlink" Target="https://www.google.com/maps/search/41.280061,+69.353315?entry=tts&amp;g_ep=EgoyMDI1MDEyOS4xIPu8ASoASAFQAw%3D%3D" TargetMode="External"/><Relationship Id="rId250" Type="http://schemas.openxmlformats.org/officeDocument/2006/relationships/hyperlink" Target="https://www.google.com/maps/place/41%C2%B013'43.0%22N+69%C2%B019'48.0%22E/@41.228623,69.330003,608m/data=!3m2!1e3!4b1!4m4!3m3!8m2!3d41.228623!4d69.330003?entry=ttu&amp;g_ep=EgoyMDI1MDUyMS4wIKXMDSoASAFQAw%3D%3D" TargetMode="External"/><Relationship Id="rId292" Type="http://schemas.openxmlformats.org/officeDocument/2006/relationships/hyperlink" Target="https://www.google.com/maps/place/41%C2%B015'01.0%22N+69%C2%B012'49.9%22E/@41.250269,69.213864,608m/data=!3m2!1e3!4b1!4m4!3m3!8m2!3d41.250269!4d69.213864?entry=ttu&amp;g_ep=EgoyMDI1MDUyMS4wIKXMDSoASAFQAw%3D%3D" TargetMode="External"/><Relationship Id="rId306" Type="http://schemas.openxmlformats.org/officeDocument/2006/relationships/hyperlink" Target="https://www.google.com/maps/search/41.201482,+69.190625?coh=245187&amp;entry=tts&amp;g_ep=EgoyMDI1MDMwNC4wIPu8ASoJLDEwMjExNDUzSAFQAw%3D%3D" TargetMode="External"/><Relationship Id="rId24" Type="http://schemas.openxmlformats.org/officeDocument/2006/relationships/hyperlink" Target="https://www.google.com/maps/search/41.286721,+69.262272?entry=tts&amp;g_ep=EgoyMDI1MDEyOS4xIPu8ASoASAFQAw%3D%3D" TargetMode="External"/><Relationship Id="rId45" Type="http://schemas.openxmlformats.org/officeDocument/2006/relationships/hyperlink" Target="https://www.google.com/maps/search/41.301549,+69.179874?entry=tts&amp;g_ep=EgoyMDI1MDIwMi4wIPu8ASoASAFQAw%3D%3D" TargetMode="External"/><Relationship Id="rId66" Type="http://schemas.openxmlformats.org/officeDocument/2006/relationships/hyperlink" Target="https://www.google.com/maps/search/41.339559,+69.230073?entry=tts&amp;g_ep=EgoyMDI1MDUxMy4xIPu8ASoASAFQAw%3D%3D&amp;skid=d112976b-9e25-469d-97b9-28eb6e6e66f8" TargetMode="External"/><Relationship Id="rId87" Type="http://schemas.openxmlformats.org/officeDocument/2006/relationships/hyperlink" Target="https://www.google.by/maps/search/41.346054,+69.244121?coh=219680&amp;utm_campaign=tt-rcs&amp;entry=tts&amp;g_ep=EgoyMDI1MDEyOS4xIPu8ASoASAFQAw%3D%3D" TargetMode="External"/><Relationship Id="rId110" Type="http://schemas.openxmlformats.org/officeDocument/2006/relationships/hyperlink" Target="https://www.google.com/maps/search/41.330885,+69.422407?entry=tts&amp;g_ep=EgoyMDI1MDQxNC4xIPu8ASoASAFQAw%3D%3D&amp;skid=791ed8d9-e0c0-45a2-9bc1-3fa52c645d57" TargetMode="External"/><Relationship Id="rId131" Type="http://schemas.openxmlformats.org/officeDocument/2006/relationships/hyperlink" Target="https://www.google.com/maps/search/41.328840,+69.326633?entry=tts&amp;g_ep=EgoyMDI1MDMyNS4xIPu8ASoASAFQAw%3D%3D&amp;skid=f97f14ac-922f-4469-838e-f06444729105" TargetMode="External"/><Relationship Id="rId327" Type="http://schemas.openxmlformats.org/officeDocument/2006/relationships/hyperlink" Target="https://www.google.com/maps/search/41.180324,+69.278945?entry=tts&amp;g_ep=EgoyMDI1MDUxMi4wIPu8ASoASAFQAw%3D%3D&amp;skid=bf85891f-5380-43f0-ba40-1226d993a9aa" TargetMode="External"/><Relationship Id="rId152" Type="http://schemas.openxmlformats.org/officeDocument/2006/relationships/hyperlink" Target="https://www.google.com/maps/search/41.331788,+69.164617?entry=tts&amp;g_ep=EgoyMDI1MDIwMi4wIPu8ASoASAFQAw%3D%3D" TargetMode="External"/><Relationship Id="rId173" Type="http://schemas.openxmlformats.org/officeDocument/2006/relationships/hyperlink" Target="https://www.google.com/maps/search/41.259335,+69.166951?entry=tts&amp;g_ep=EgoyMDI1MDIwMy4wIPu8ASoASAFQAw%3D%3D" TargetMode="External"/><Relationship Id="rId194" Type="http://schemas.openxmlformats.org/officeDocument/2006/relationships/hyperlink" Target="https://www.google.com/maps/search/41.296233,+69.240311?entry=tts&amp;g_ep=EgoyMDI1MDIwMy4wIPu8ASoASAFQAw%3D%3D" TargetMode="External"/><Relationship Id="rId208" Type="http://schemas.openxmlformats.org/officeDocument/2006/relationships/hyperlink" Target="https://www.google.com/maps/search/41.284735,+69.307961?entry=tts&amp;g_ep=EgoyMDI1MDUxMy4xIPu8ASoASAFQAw%3D%3D&amp;skid=e865632b-23b4-4c44-bc45-470a7c5d1885" TargetMode="External"/><Relationship Id="rId229" Type="http://schemas.openxmlformats.org/officeDocument/2006/relationships/hyperlink" Target="https://www.google.com/maps/search/41.313667,+69.317740?entry=tts&amp;g_ep=EgoyMDI1MDEyOS4xIPu8ASoASAFQAw%3D%3D" TargetMode="External"/><Relationship Id="rId240" Type="http://schemas.openxmlformats.org/officeDocument/2006/relationships/hyperlink" Target="https://www.google.com/maps/search/41.278369,+69.371465?entry=tts&amp;g_ep=EgoyMDI1MDEyOS4xIPu8ASoASAFQAw%3D%3D" TargetMode="External"/><Relationship Id="rId261" Type="http://schemas.openxmlformats.org/officeDocument/2006/relationships/hyperlink" Target="https://www.google.com/maps/place/41%C2%B013'18.8%22N+69%C2%B020'02.9%22E/@41.22189,69.334134,608m/data=!3m2!1e3!4b1!4m4!3m3!8m2!3d41.22189!4d69.334134?entry=ttu&amp;g_ep=EgoyMDI1MDUyMS4wIKXMDSoASAFQAw%3D%3D" TargetMode="External"/><Relationship Id="rId14" Type="http://schemas.openxmlformats.org/officeDocument/2006/relationships/hyperlink" Target="https://www.google.com/maps/search/41.286313,+69.250223?coh=245189&amp;entry=tts&amp;g_ep=EgoyMDI1MDIyMy4xIPu8ASoJLDEwMjExNDU1SAFQAw%3D%3D" TargetMode="External"/><Relationship Id="rId35" Type="http://schemas.openxmlformats.org/officeDocument/2006/relationships/hyperlink" Target="https://www.google.com/maps/search/41.292772,+69.149254?entry=tts&amp;g_ep=EgoyMDI1MDIwMi4wIPu8ASoASAFQAw%3D%3D" TargetMode="External"/><Relationship Id="rId56" Type="http://schemas.openxmlformats.org/officeDocument/2006/relationships/hyperlink" Target="https://www.google.com/maps/search/41.284779,+69.169151?entry=tts&amp;g_ep=EgoyMDI1MDIwMi4wIPu8ASoASAFQAw%3D%3D" TargetMode="External"/><Relationship Id="rId77" Type="http://schemas.openxmlformats.org/officeDocument/2006/relationships/hyperlink" Target="https://www.google.com/maps/search/41.371255,+69.248514?entry=tts&amp;g_ep=EgoyMDI1MDMwNC4wIPu8ASoASAFQAw%3D%3D" TargetMode="External"/><Relationship Id="rId100" Type="http://schemas.openxmlformats.org/officeDocument/2006/relationships/hyperlink" Target="https://www.google.com/maps/search/41.337587,+69.333595?entry=tts&amp;g_ep=EgoyMDI1MDUxMi4wIPu8ASoASAFQAw%3D%3D&amp;skid=89339f8d-fb0c-4b40-bb12-20ec9dbf9864" TargetMode="External"/><Relationship Id="rId282" Type="http://schemas.openxmlformats.org/officeDocument/2006/relationships/hyperlink" Target="https://www.google.com/maps/place/41%C2%B014'53.1%22N+69%C2%B016'23.8%22E/@41.248071,69.273283,608m/data=!3m2!1e3!4b1!4m4!3m3!8m2!3d41.248071!4d69.273283?entry=ttu&amp;g_ep=EgoyMDI1MDUyMS4wIKXMDSoASAFQAw%3D%3D" TargetMode="External"/><Relationship Id="rId317" Type="http://schemas.openxmlformats.org/officeDocument/2006/relationships/hyperlink" Target="https://www.google.com/maps/search/41.171608,+69.284201?coh=245187&amp;entry=tts&amp;g_ep=EgoyMDI1MDMwNC4wIPu8ASoJLDEwMjExNDUzSAFQAw%3D%3D" TargetMode="External"/><Relationship Id="rId8" Type="http://schemas.openxmlformats.org/officeDocument/2006/relationships/hyperlink" Target="https://www.google.com/maps/search/41.216997,+69.262686?entry=tts&amp;g_ep=EgoyMDI1MDUxNS4xIPu8ASoASAFQAw%3D%3D&amp;skid=314afdfc-b06e-49d6-8115-6768fdf02e76" TargetMode="External"/><Relationship Id="rId98" Type="http://schemas.openxmlformats.org/officeDocument/2006/relationships/hyperlink" Target="https://www.google.com/maps/search/41.334179,+69.317466?entry=tts&amp;g_ep=EgoyMDI1MDUxMi4wIPu8ASoASAFQAw%3D%3D&amp;skid=905743ea-7fbc-42a8-85aa-9f25604ef3cf" TargetMode="External"/><Relationship Id="rId121" Type="http://schemas.openxmlformats.org/officeDocument/2006/relationships/hyperlink" Target="https://www.google.com/maps/search/41.328064,+69.303044?entry=tts&amp;g_ep=EgoyMDI1MDMyNS4xIPu8ASoASAFQAw%3D%3D&amp;skid=87fbc2ad-b872-4ca1-9443-a6b909abe510" TargetMode="External"/><Relationship Id="rId142" Type="http://schemas.openxmlformats.org/officeDocument/2006/relationships/hyperlink" Target="https://www.google.ru/maps/search/41.339518,+69.263954?entry=tts&amp;g_ep=EgoyMDI1MDUxNS4xIPu8ASoASAFQAw%3D%3D&amp;skid=7203ede9-02cb-47f9-b645-01ba1b791f11" TargetMode="External"/><Relationship Id="rId163" Type="http://schemas.openxmlformats.org/officeDocument/2006/relationships/hyperlink" Target="https://www.google.com/maps/search/41.312493,+69.211197?entry=tts&amp;g_ep=EgoyMDI1MDEyOS4xIPu8ASoASAFQAw%3D%3D" TargetMode="External"/><Relationship Id="rId184" Type="http://schemas.openxmlformats.org/officeDocument/2006/relationships/hyperlink" Target="https://www.google.com/maps/search/41.275611,+69.225024?entry=tts&amp;g_ep=EgoyMDI1MDIwMy4wIPu8ASoASAFQAw%3D%3D" TargetMode="External"/><Relationship Id="rId219" Type="http://schemas.openxmlformats.org/officeDocument/2006/relationships/hyperlink" Target="https://www.google.com/maps/search/41.296487,+69.363429?coh=245189&amp;entry=tts&amp;g_ep=EgoyMDI1MDIxNy4wIPu8ASoJLDEwMjExNDU1SAFQAw%3D%3D" TargetMode="External"/><Relationship Id="rId230" Type="http://schemas.openxmlformats.org/officeDocument/2006/relationships/hyperlink" Target="https://www.google.com/maps/search/41.302180,+69.309216?entry=tts&amp;g_ep=EgoyMDI1MDIwMi4wIPu8ASoASAFQAw%3D%3D" TargetMode="External"/><Relationship Id="rId251" Type="http://schemas.openxmlformats.org/officeDocument/2006/relationships/hyperlink" Target="https://www.google.com/maps/place/41%C2%B012'59.0%22N+69%C2%B020'12.6%22E/@41.216396,69.336844,608m/data=!3m2!1e3!4b1!4m4!3m3!8m2!3d41.216396!4d69.336844?entry=ttu&amp;g_ep=EgoyMDI1MDUyMS4wIKXMDSoASAFQAw%3D%3D" TargetMode="External"/><Relationship Id="rId25" Type="http://schemas.openxmlformats.org/officeDocument/2006/relationships/hyperlink" Target="https://www.google.ru/maps/search/41.281518,+69.256142?entry=tts&amp;g_ep=EgoyMDI1MDEyOS4xIPu8ASoASAFQAw%3D%3D" TargetMode="External"/><Relationship Id="rId46" Type="http://schemas.openxmlformats.org/officeDocument/2006/relationships/hyperlink" Target="https://www.google.com/maps/search/41.299070,+69.176789?entry=tts&amp;g_ep=EgoyMDI1MDIwMi4wIPu8ASoASAFQAw%3D%3D" TargetMode="External"/><Relationship Id="rId67" Type="http://schemas.openxmlformats.org/officeDocument/2006/relationships/hyperlink" Target="https://www.google.com/maps/search/41.345007,+69.240316?entry=tts&amp;g_ep=EgoyMDI1MDUxMy4xIPu8ASoASAFQAw%3D%3D&amp;skid=c16df43c-bbbf-41a5-8856-95d560254a54" TargetMode="External"/><Relationship Id="rId272" Type="http://schemas.openxmlformats.org/officeDocument/2006/relationships/hyperlink" Target="https://www.google.ru/maps/place/41%C2%B015'11.7%22N+69%C2%B014'49.6%22E/@41.253243,69.247108,17z/data=!3m1!4b1!4m4!3m3!8m2!3d41.253243!4d69.247108?entry=ttu&amp;g_ep=EgoyMDI1MDUyMS4wIKXMDSoASAFQAw%3D%3D" TargetMode="External"/><Relationship Id="rId293" Type="http://schemas.openxmlformats.org/officeDocument/2006/relationships/hyperlink" Target="https://www.google.com/maps/place/41%C2%B014'53.1%22N+69%C2%B012'28.9%22E/@41.248084,69.20804,608m/data=!3m2!1e3!4b1!4m4!3m3!8m2!3d41.248084!4d69.20804?entry=ttu&amp;g_ep=EgoyMDI1MDUyMS4wIKXMDSoASAFQAw%3D%3D" TargetMode="External"/><Relationship Id="rId307" Type="http://schemas.openxmlformats.org/officeDocument/2006/relationships/hyperlink" Target="https://www.google.com/maps/search/41.204021,+69.199212?coh=245187&amp;entry=tts&amp;g_ep=EgoyMDI1MDMwNC4wIPu8ASoJLDEwMjExNDUzSAFQAw%3D%3D" TargetMode="External"/><Relationship Id="rId328" Type="http://schemas.openxmlformats.org/officeDocument/2006/relationships/hyperlink" Target="https://www.google.com/maps/search/41.253169,+69.321483?entry=tts&amp;g_ep=EgoyMDI1MDIwMy4wIPu8ASoASAFQAw%3D%3D" TargetMode="External"/><Relationship Id="rId88" Type="http://schemas.openxmlformats.org/officeDocument/2006/relationships/hyperlink" Target="https://www.google.by/maps/search/41.350672,+69.228398?coh=219680&amp;utm_campaign=tt-rcs&amp;entry=tts&amp;g_ep=EgoyMDI1MDEyOS4xIPu8ASoASAFQAw%3D%3D" TargetMode="External"/><Relationship Id="rId111" Type="http://schemas.openxmlformats.org/officeDocument/2006/relationships/hyperlink" Target="https://www.google.com/maps/search/41.333567,+69.440830?entry=tts&amp;g_ep=EgoyMDI1MDQxNC4xIPu8ASoASAFQAw%3D%3D&amp;skid=d2215e57-1dfe-48fc-ab54-70a5270f4d50" TargetMode="External"/><Relationship Id="rId132" Type="http://schemas.openxmlformats.org/officeDocument/2006/relationships/hyperlink" Target="https://www.google.com/maps/search/41.320654,+69.245215?entry=tts&amp;g_ep=EgoyMDI1MDUxMy4xIPu8ASoASAFQAw%3D%3D&amp;skid=60b5a126-8763-4228-8c05-34c15e8b3aaf" TargetMode="External"/><Relationship Id="rId153" Type="http://schemas.openxmlformats.org/officeDocument/2006/relationships/hyperlink" Target="https://www.google.com/maps/search/41.340444,+69.173750?entry=tts&amp;g_ep=EgoyMDI1MDEyOS4xIPu8ASoASAFQAw%3D%3D" TargetMode="External"/><Relationship Id="rId174" Type="http://schemas.openxmlformats.org/officeDocument/2006/relationships/hyperlink" Target="https://www.google.com/maps/search/41.267405,+69.168511?coh=245187&amp;entry=tts&amp;g_ep=EgoyMDI1MDUxMy4xIPu8ASoJLDEwMjExNDUzSAFQAw%3D%3D&amp;skid=04821964-16ce-4b56-ba56-917b662c1de7" TargetMode="External"/><Relationship Id="rId195" Type="http://schemas.openxmlformats.org/officeDocument/2006/relationships/hyperlink" Target="https://www.google.com/maps/search/41.293123,+69.233107?entry=tts&amp;g_ep=EgoyMDI1MDIwMy4wIPu8ASoASAFQAw%3D%3D" TargetMode="External"/><Relationship Id="rId209" Type="http://schemas.openxmlformats.org/officeDocument/2006/relationships/hyperlink" Target="https://www.google.com/maps/search/41.300623,+69.336869?entry=tts&amp;g_ep=EgoyMDI1MDEyOS4xIPu8ASoASAFQAw%3D%3D" TargetMode="External"/><Relationship Id="rId220" Type="http://schemas.openxmlformats.org/officeDocument/2006/relationships/hyperlink" Target="https://www.google.com/maps/search/41.267071,+69.319239?coh=245189&amp;entry=tts&amp;g_ep=EgoyMDI1MDIxOS4xIPu8ASoJLDEwMjExNDU1SAFQAw%3D%3D" TargetMode="External"/><Relationship Id="rId241" Type="http://schemas.openxmlformats.org/officeDocument/2006/relationships/hyperlink" Target="https://www.google.com/maps/place/Mirobod+tumani+statistika+boshqarmasi/@41.2963503,69.2834831,299m/data=!3m1!1e3!4m6!3m5!1s0x38ae8b122878999d:0x123bc05bd2437e0b!8m2!3d41.2961668!4d69.2843104!16s%2Fg%2F11q938lcb4?entry=tts&amp;g_ep=EgoyMDI1MDUxMi4wIPu8ASoASAFQAw%3D%3D&amp;skid=6f340935-651b-436e-bb80-700848d10ede" TargetMode="External"/><Relationship Id="rId15" Type="http://schemas.openxmlformats.org/officeDocument/2006/relationships/hyperlink" Target="https://www.google.com/maps/search/41.277735,+69.260669?coh=245189&amp;entry=tts&amp;g_ep=EgoyMDI1MDIyMy4xIPu8ASoJLDEwMjExNDU1SAFQAw%3D%3D" TargetMode="External"/><Relationship Id="rId36" Type="http://schemas.openxmlformats.org/officeDocument/2006/relationships/hyperlink" Target="https://www.google.com/maps/search/41.292207,+69.144934?entry=tts&amp;g_ep=EgoyMDI1MDIwMi4wIPu8ASoASAFQAw%3D%3D" TargetMode="External"/><Relationship Id="rId57" Type="http://schemas.openxmlformats.org/officeDocument/2006/relationships/hyperlink" Target="https://www.google.com/maps/search/41.279088,+69.168049?entry=tts&amp;g_ep=EgoyMDI1MDMwMi4wIPu8ASoASAFQAw%3D%3D" TargetMode="External"/><Relationship Id="rId262" Type="http://schemas.openxmlformats.org/officeDocument/2006/relationships/hyperlink" Target="https://www.google.com/maps/place/41%C2%B013'51.2%22N+69%C2%B022'27.9%22E/@41.230897,69.374412,608m/data=!3m2!1e3!4b1!4m4!3m3!8m2!3d41.230897!4d69.374412?entry=ttu&amp;g_ep=EgoyMDI1MDUyMS4wIKXMDSoASAFQAw%3D%3D" TargetMode="External"/><Relationship Id="rId283" Type="http://schemas.openxmlformats.org/officeDocument/2006/relationships/hyperlink" Target="https://www.google.com/maps/place/41%C2%B014'47.6%22N+69%C2%B016'07.4%22E/@41.246541,69.26872,608m/data=!3m2!1e3!4b1!4m4!3m3!8m2!3d41.246541!4d69.26872?entry=ttu&amp;g_ep=EgoyMDI1MDUyMS4wIKXMDSoASAFQAw%3D%3D" TargetMode="External"/><Relationship Id="rId318" Type="http://schemas.openxmlformats.org/officeDocument/2006/relationships/hyperlink" Target="https://www.google.com/maps/search/41.177882,+69.296841?coh=245187&amp;entry=tts&amp;g_ep=EgoyMDI1MDMwNC4wIPu8ASoJLDEwMjExNDUzSAFQAw%3D%3D" TargetMode="External"/><Relationship Id="rId78" Type="http://schemas.openxmlformats.org/officeDocument/2006/relationships/hyperlink" Target="https://www.google.com/maps/search/41.366573,+69.193699?entry=tts&amp;g_ep=EgoyMDI1MDMwNC4wIPu8ASoASAFQAw%3D%3D" TargetMode="External"/><Relationship Id="rId99" Type="http://schemas.openxmlformats.org/officeDocument/2006/relationships/hyperlink" Target="https://www.google.com/maps/search/41.339152,+69.335354?entry=tts&amp;g_ep=EgoyMDI1MDUxMi4wIPu8ASoASAFQAw%3D%3D&amp;skid=065b4451-fcb0-429a-a521-db1cedd39eec" TargetMode="External"/><Relationship Id="rId101" Type="http://schemas.openxmlformats.org/officeDocument/2006/relationships/hyperlink" Target="https://www.google.com/maps/search/41.363890,+69.387307?entry=tts&amp;g_ep=EgoyMDI1MDQxNC4xIPu8ASoASAFQAw%3D%3D&amp;skid=96c8bf26-fa8d-4d06-b6d7-93a25fbbb0d3" TargetMode="External"/><Relationship Id="rId122" Type="http://schemas.openxmlformats.org/officeDocument/2006/relationships/hyperlink" Target="https://www.google.com/maps/search/41.329872,+69.306397?entry=tts&amp;g_ep=EgoyMDI1MDMyNS4xIPu8ASoASAFQAw%3D%3D&amp;skid=624db554-1308-4e1a-9623-56c88b650146" TargetMode="External"/><Relationship Id="rId143" Type="http://schemas.openxmlformats.org/officeDocument/2006/relationships/hyperlink" Target="https://www.google.com/maps/search/41.315120,+69.238671?entry=tts&amp;g_ep=EgoyMDI1MDIwMi4wIPu8ASoASAFQAw%3D%3D" TargetMode="External"/><Relationship Id="rId164" Type="http://schemas.openxmlformats.org/officeDocument/2006/relationships/hyperlink" Target="https://www.google.ru/maps/search/41.314099,+69.251369?entry=tts&amp;g_ep=EgoyMDI1MDUxNS4xIPu8ASoASAFQAw%3D%3D&amp;skid=66cdfe4c-3b3a-459e-be6f-5eb699b80c63" TargetMode="External"/><Relationship Id="rId185" Type="http://schemas.openxmlformats.org/officeDocument/2006/relationships/hyperlink" Target="https://www.google.com/maps/search/41.282519,+69.221748?entry=tts&amp;g_ep=EgoyMDI1MDIwMy4wIPu8ASoASAFQAw%3D%3D" TargetMode="External"/><Relationship Id="rId9" Type="http://schemas.openxmlformats.org/officeDocument/2006/relationships/hyperlink" Target="https://www.google.com/maps/search/41.223381,+69.208414?entry=tts&amp;g_ep=EgoyMDI1MDUxNS4xIPu8ASoASAFQAw%3D%3D&amp;skid=ee4ae3dc-6593-4839-bec7-bad493888617" TargetMode="External"/><Relationship Id="rId210" Type="http://schemas.openxmlformats.org/officeDocument/2006/relationships/hyperlink" Target="https://www.google.com/maps/search/41.304541,+69.338439?entry=tts&amp;g_ep=EgoyMDI1MDIwMi4wIPu8ASoASAFQAw%3D%3D" TargetMode="External"/><Relationship Id="rId26" Type="http://schemas.openxmlformats.org/officeDocument/2006/relationships/hyperlink" Target="https://www.google.com/maps/search/41.270538,+69.259304?entry=tts&amp;g_ep=EgoyMDI1MDEyOS4xIPu8ASoASAFQAw%3D%3D" TargetMode="External"/><Relationship Id="rId231" Type="http://schemas.openxmlformats.org/officeDocument/2006/relationships/hyperlink" Target="https://www.google.com/maps/search/41.288137,+69.305310?entry=tts&amp;g_ep=EgoyMDI1MDEyOS4xIPu8ASoASAFQAw%3D%3D" TargetMode="External"/><Relationship Id="rId252" Type="http://schemas.openxmlformats.org/officeDocument/2006/relationships/hyperlink" Target="https://www.google.com/maps/place/41%C2%B013'42.4%22N+69%C2%B019'47.3%22E/@41.228443,69.329806,608m/data=!3m2!1e3!4b1!4m4!3m3!8m2!3d41.228443!4d69.329806?entry=ttu&amp;g_ep=EgoyMDI1MDUyMS4wIKXMDSoASAFQAw%3D%3D" TargetMode="External"/><Relationship Id="rId273" Type="http://schemas.openxmlformats.org/officeDocument/2006/relationships/hyperlink" Target="https://www.google.ru/maps/place/41%C2%B014'48.6%22N+69%C2%B012'19.0%22E/@41.24684,69.205267,17z/data=!3m1!4b1!4m4!3m3!8m2!3d41.24684!4d69.205267?entry=ttu&amp;g_ep=EgoyMDI1MDUyMS4wIKXMDSoASAFQAw%3D%3D" TargetMode="External"/><Relationship Id="rId294" Type="http://schemas.openxmlformats.org/officeDocument/2006/relationships/hyperlink" Target="https://www.google.com/maps/place/41%C2%B014'39.4%22N+69%C2%B012'04.0%22E/@41.244279,69.201117,608m/data=!3m2!1e3!4b1!4m4!3m3!8m2!3d41.244279!4d69.201117?entry=ttu&amp;g_ep=EgoyMDI1MDUyMS4wIKXMDSoASAFQAw%3D%3D" TargetMode="External"/><Relationship Id="rId308" Type="http://schemas.openxmlformats.org/officeDocument/2006/relationships/hyperlink" Target="https://www.google.com/maps/search/41.199555,+69.197097?coh=245187&amp;entry=tts&amp;g_ep=EgoyMDI1MDMwNC4wIPu8ASoJLDEwMjExNDUzSAFQAw%3D%3D" TargetMode="External"/><Relationship Id="rId329" Type="http://schemas.openxmlformats.org/officeDocument/2006/relationships/hyperlink" Target="https://www.google.com/maps/search/41.248807,+69.314810?entry=tts&amp;g_ep=EgoyMDI1MDIwMy4wIPu8ASoASAFQAw%3D%3D" TargetMode="External"/><Relationship Id="rId47" Type="http://schemas.openxmlformats.org/officeDocument/2006/relationships/hyperlink" Target="https://www.google.com/maps/search/41.297191,+69.174263?entry=tts&amp;g_ep=EgoyMDI1MDIwMi4wIPu8ASoASAFQAw%3D%3D" TargetMode="External"/><Relationship Id="rId68" Type="http://schemas.openxmlformats.org/officeDocument/2006/relationships/hyperlink" Target="https://www.google.com/maps/search/41.346967,+69.203887?entry=tts&amp;g_ep=EgoyMDI1MDMwNC4wIPu8ASoASAFQAw%3D%3D" TargetMode="External"/><Relationship Id="rId89" Type="http://schemas.openxmlformats.org/officeDocument/2006/relationships/hyperlink" Target="https://www.google.com/maps/search/41.327526,+69.318569?entry=tts&amp;g_ep=EgoyMDI1MDUxNS4xIPu8ASoASAFQAw%3D%3D&amp;skid=3e4c6155-9fd9-47b1-b6ad-9e25aa04d5c0" TargetMode="External"/><Relationship Id="rId112" Type="http://schemas.openxmlformats.org/officeDocument/2006/relationships/hyperlink" Target="https://www.google.com/maps/search/41.325692,+69.299179?entry=tts&amp;g_ep=EgoyMDI1MDQxNC4xIPu8ASoASAFQAw%3D%3D&amp;skid=5a64956b-1d36-44af-9684-5977fa66b1d5" TargetMode="External"/><Relationship Id="rId133" Type="http://schemas.openxmlformats.org/officeDocument/2006/relationships/hyperlink" Target="https://www.google.com/maps/search/41.328390,+69.191997?entry=tts&amp;g_ep=EgoyMDI1MDIwMi4wIPu8ASoJLDEwMjExMjM0SAFQAw%3D%3D" TargetMode="External"/><Relationship Id="rId154" Type="http://schemas.openxmlformats.org/officeDocument/2006/relationships/hyperlink" Target="https://www.google.com/maps/search/41.329919,+69.194148?entry=tts&amp;g_ep=EgoyMDI1MDEyOS4xIPu8ASoASAFQAw%3D%3D" TargetMode="External"/><Relationship Id="rId175" Type="http://schemas.openxmlformats.org/officeDocument/2006/relationships/hyperlink" Target="https://www.google.com/maps/search/41.270032,+69.186369?entry=tts&amp;g_ep=EgoyMDI1MDIwMy4wIPu8ASoASAFQAw%3D%3D" TargetMode="External"/><Relationship Id="rId196" Type="http://schemas.openxmlformats.org/officeDocument/2006/relationships/hyperlink" Target="https://www.google.com/maps/search/41.297449,+69.226939?entry=tts&amp;g_ep=EgoyMDI1MDIwMy4wIPu8ASoASAFQAw%3D%3D" TargetMode="External"/><Relationship Id="rId200" Type="http://schemas.openxmlformats.org/officeDocument/2006/relationships/hyperlink" Target="https://www.google.com/maps/search/41.294135,+69.210264?entry=tts&amp;g_ep=EgoyMDI1MDIwMy4wIPu8ASoASAFQAw%3D%3D" TargetMode="External"/><Relationship Id="rId16" Type="http://schemas.openxmlformats.org/officeDocument/2006/relationships/hyperlink" Target="https://www.google.com/maps/search/41.273455,+69.240970?coh=219680&amp;utm_campaign=tt-rcs&amp;entry=tts&amp;g_ep=EgoyMDI1MDMwNC4wIPu8ASoASAFQAw%3D%3D" TargetMode="External"/><Relationship Id="rId221" Type="http://schemas.openxmlformats.org/officeDocument/2006/relationships/hyperlink" Target="https://www.google.com/maps/search/41.294509,+69.357562?coh=245189&amp;entry=tts&amp;g_ep=EgoyMDI1MDIyNS4wIPu8ASoJLDEwMjExNDU1SAFQAw%3D%3D" TargetMode="External"/><Relationship Id="rId242" Type="http://schemas.openxmlformats.org/officeDocument/2006/relationships/hyperlink" Target="https://www.google.com/maps/place/Mirobod+tumani+Davlat+Soliq+inspeksiyasi/@41.2954794,69.2840148,299m/data=!3m1!1e3!4m6!3m5!1s0x38ae8b5b285350f3:0xa095b22c4e697035!8m2!3d41.2954115!4d69.2846772!16s%2Fg%2F11tdp2wk13?entry=tts&amp;g_ep=EgoyMDI1MDUxMi4wIPu8ASoASAFQAw%3D%3D&amp;skid=3e1e4d86-6f2b-4d2a-9b42-9dbdec0ada36" TargetMode="External"/><Relationship Id="rId263" Type="http://schemas.openxmlformats.org/officeDocument/2006/relationships/hyperlink" Target="https://www.google.com/maps/place/41%C2%B013'37.9%22N+69%C2%B022'04.6%22E/@41.227181,69.367938,608m/data=!3m2!1e3!4b1!4m4!3m3!8m2!3d41.227181!4d69.367938?entry=ttu&amp;g_ep=EgoyMDI1MDUyMS4wIKXMDSoASAFQAw%3D%3D" TargetMode="External"/><Relationship Id="rId284" Type="http://schemas.openxmlformats.org/officeDocument/2006/relationships/hyperlink" Target="https://www.google.ru/maps/place/41%C2%B013'52.6%22N+69%C2%B012'53.2%22E/@41.231265,69.214771,17z/data=!3m1!4b1!4m4!3m3!8m2!3d41.231265!4d69.214771?entry=ttu&amp;g_ep=EgoyMDI1MDUyMS4wIKXMDSoASAFQAw%3D%3D" TargetMode="External"/><Relationship Id="rId319" Type="http://schemas.openxmlformats.org/officeDocument/2006/relationships/hyperlink" Target="https://www.google.com/maps/search/41.212554,+69.192633?coh=245187&amp;entry=tts&amp;g_ep=EgoyMDI1MDMwNC4wIPu8ASoJLDEwMjExNDUzSAFQAw%3D%3D" TargetMode="External"/><Relationship Id="rId37" Type="http://schemas.openxmlformats.org/officeDocument/2006/relationships/hyperlink" Target="https://www.google.com/maps/search/41.292077,+69.143401?entry=tts&amp;g_ep=EgoyMDI1MDIwMi4wIPu8ASoASAFQAw%3D%3D" TargetMode="External"/><Relationship Id="rId58" Type="http://schemas.openxmlformats.org/officeDocument/2006/relationships/hyperlink" Target="https://www.google.com/maps/place/41%C2%B016'37.9%22N+69%C2%B010'17.3%22E/@41.2769477,69.1708672,272m/data=!3m1!1e3!4m4!3m3!8m2!3d41.277183!4d69.171471?entry=tts&amp;g_ep=EgoyMDI1MDIwMi4wIPu8ASoASAFQAw%3D%3D" TargetMode="External"/><Relationship Id="rId79" Type="http://schemas.openxmlformats.org/officeDocument/2006/relationships/hyperlink" Target="https://www.google.com/maps/search/41.331210,+69.233893?entry=tts&amp;g_ep=EgoyMDI1MDMwNC4wIPu8ASoASAFQAw%3D%3D" TargetMode="External"/><Relationship Id="rId102" Type="http://schemas.openxmlformats.org/officeDocument/2006/relationships/hyperlink" Target="https://www.google.com/maps/search/41.365494,+69.392479?entry=tts&amp;g_ep=EgoyMDI1MDQxNC4xIPu8ASoASAFQAw%3D%3D&amp;skid=619706ea-12ea-4edd-9037-6617642c9e4e" TargetMode="External"/><Relationship Id="rId123" Type="http://schemas.openxmlformats.org/officeDocument/2006/relationships/hyperlink" Target="https://www.google.com/maps/search/41.337391,+69.308637?entry=tts&amp;g_ep=EgoyMDI1MDMyNS4xIPu8ASoASAFQAw%3D%3D&amp;skid=4a5e764d-ba63-466b-930f-c459b184297f" TargetMode="External"/><Relationship Id="rId144" Type="http://schemas.openxmlformats.org/officeDocument/2006/relationships/hyperlink" Target="https://www.google.com/maps/search/41.333995,+69.259040?entry=tts&amp;g_ep=EgoyMDI1MDUxMy4xIPu8ASoASAFQAw%3D%3D&amp;skid=8cb4f20d-d061-4480-b977-25878ab3eed5" TargetMode="External"/><Relationship Id="rId330" Type="http://schemas.openxmlformats.org/officeDocument/2006/relationships/hyperlink" Target="https://maps.app.goo.gl/Z2q24FAKz2W1Hf9j6" TargetMode="External"/><Relationship Id="rId90" Type="http://schemas.openxmlformats.org/officeDocument/2006/relationships/hyperlink" Target="https://www.google.com/maps/search/41.340613,+69.337441?entry=tts&amp;g_ep=EgoyMDI1MDUxMy4xIPu8ASoASAFQAw%3D%3D&amp;skid=fbcafd96-a6a5-4b3c-80fd-d2931bd83d7d" TargetMode="External"/><Relationship Id="rId165" Type="http://schemas.openxmlformats.org/officeDocument/2006/relationships/hyperlink" Target="https://www.google.ru/maps/search/41.317203,+69.255317?entry=tts&amp;g_ep=EgoyMDI1MDUxNS4xIPu8ASoASAFQAw%3D%3D&amp;skid=a1d5bd13-d894-4784-a57b-89c05fb553f0" TargetMode="External"/><Relationship Id="rId186" Type="http://schemas.openxmlformats.org/officeDocument/2006/relationships/hyperlink" Target="https://www.google.com/maps/search/41.274289,+69.206685?entry=tts&amp;g_ep=EgoyMDI1MDIwMy4wIPu8ASoASAFQAw%3D%3D" TargetMode="External"/><Relationship Id="rId211" Type="http://schemas.openxmlformats.org/officeDocument/2006/relationships/hyperlink" Target="https://www.google.com/maps/search/41.307995,+69.358485?entry=tts&amp;g_ep=EgoyMDI1MDIwMi4wIPu8ASoASAFQAw%3D%3D" TargetMode="External"/><Relationship Id="rId232" Type="http://schemas.openxmlformats.org/officeDocument/2006/relationships/hyperlink" Target="https://www.google.com/maps/search/41.269265,+69.318734?entry=tts&amp;g_ep=EgoyMDI1MDEyOS4xIPu8ASoASAFQAw%3D%3D" TargetMode="External"/><Relationship Id="rId253" Type="http://schemas.openxmlformats.org/officeDocument/2006/relationships/hyperlink" Target="https://www.google.com/maps/place/41%C2%B014'06.9%22N+69%C2%B021'06.3%22E/@41.235235,69.35174,608m/data=!3m2!1e3!4b1!4m4!3m3!8m2!3d41.235235!4d69.35174?entry=ttu&amp;g_ep=EgoyMDI1MDUyMS4wIKXMDSoASAFQAw%3D%3D" TargetMode="External"/><Relationship Id="rId274" Type="http://schemas.openxmlformats.org/officeDocument/2006/relationships/hyperlink" Target="https://www.google.ru/maps/place/41%C2%B012'59.1%22N+69%C2%B013'32.6%22E/@41.216428,69.22573,17z/data=!3m1!4b1!4m4!3m3!8m2!3d41.216428!4d69.22573?entry=ttu&amp;g_ep=EgoyMDI1MDUyMS4wIKXMDSoASAFQAw%3D%3D" TargetMode="External"/><Relationship Id="rId295" Type="http://schemas.openxmlformats.org/officeDocument/2006/relationships/hyperlink" Target="https://www.google.com/maps/place/41%C2%B014'50.5%22N+69%C2%B015'18.1%22E/@41.247352,69.255024,608m/data=!3m2!1e3!4b1!4m4!3m3!8m2!3d41.247352!4d69.255024?entry=ttu&amp;g_ep=EgoyMDI1MDUyMS4wIKXMDSoASAFQAw%3D%3D" TargetMode="External"/><Relationship Id="rId309" Type="http://schemas.openxmlformats.org/officeDocument/2006/relationships/hyperlink" Target="https://www.google.com/maps/search/41.198191,+69.201869?coh=245187&amp;entry=tts&amp;g_ep=EgoyMDI1MDMwNC4wIPu8ASoJLDEwMjExNDUzSAFQAw%3D%3D" TargetMode="External"/><Relationship Id="rId27" Type="http://schemas.openxmlformats.org/officeDocument/2006/relationships/hyperlink" Target="https://www.google.com/maps/search/41.290345,+69.250404?entry=tts&amp;g_ep=EgoyMDI1MDEyOS4xIPu8ASoASAFQAw%3D%3D" TargetMode="External"/><Relationship Id="rId48" Type="http://schemas.openxmlformats.org/officeDocument/2006/relationships/hyperlink" Target="https://www.google.com/maps/search/41.300662,+69.189334?entry=tts&amp;g_ep=EgoyMDI1MDIwMi4wIPu8ASoASAFQAw%3D%3D" TargetMode="External"/><Relationship Id="rId69" Type="http://schemas.openxmlformats.org/officeDocument/2006/relationships/hyperlink" Target="https://www.google.com/maps/search/41.334926,+69.219761?entry=tts&amp;g_ep=EgoyMDI1MDMwNC4wIPu8ASoASAFQAw%3D%3D" TargetMode="External"/><Relationship Id="rId113" Type="http://schemas.openxmlformats.org/officeDocument/2006/relationships/hyperlink" Target="https://www.google.com/maps/search/41.322600,+69.298549?entry=tts&amp;g_ep=EgoyMDI1MDQxNC4xIPu8ASoASAFQAw%3D%3D&amp;skid=430b05bd-e82b-4c92-bd41-7df9b17c8ab6" TargetMode="External"/><Relationship Id="rId134" Type="http://schemas.openxmlformats.org/officeDocument/2006/relationships/hyperlink" Target="https://www.google.com/maps/search/41.337794,+69.260889?entry=tts&amp;g_ep=EgoyMDI1MDIwMi4wIPu8ASoJLDEwMjExMjM0SAFQAw%3D%3D" TargetMode="External"/><Relationship Id="rId320" Type="http://schemas.openxmlformats.org/officeDocument/2006/relationships/hyperlink" Target="https://www.google.com/maps/search/41.212515,+69.212453?coh=245187&amp;entry=tts&amp;g_ep=EgoyMDI1MDMwNC4wIPu8ASoJLDEwMjExNDUzSAFQAw%3D%3D" TargetMode="External"/><Relationship Id="rId80" Type="http://schemas.openxmlformats.org/officeDocument/2006/relationships/hyperlink" Target="https://www.google.com/maps/search/41.340100,+69.249743?entry=tts&amp;g_ep=EgoyMDI1MDMwNC4wIPu8ASoASAFQAw%3D%3D" TargetMode="External"/><Relationship Id="rId155" Type="http://schemas.openxmlformats.org/officeDocument/2006/relationships/hyperlink" Target="https://www.google.com/maps/search/41.333525,+69.189547?entry=tts&amp;g_ep=EgoyMDI1MDEyOS4xIPu8ASoASAFQAw%3D%3D" TargetMode="External"/><Relationship Id="rId176" Type="http://schemas.openxmlformats.org/officeDocument/2006/relationships/hyperlink" Target="https://www.google.com/maps/search/41.259449,+69.190089?entry=tts&amp;g_ep=EgoyMDI1MDIwMy4wIPu8ASoASAFQAw%3D%3D" TargetMode="External"/><Relationship Id="rId197" Type="http://schemas.openxmlformats.org/officeDocument/2006/relationships/hyperlink" Target="https://www.google.com/maps/search/41.294399,+69.216162?entry=tts&amp;g_ep=EgoyMDI1MDIwMy4wIPu8ASoASAFQAw%3D%3D" TargetMode="External"/><Relationship Id="rId201" Type="http://schemas.openxmlformats.org/officeDocument/2006/relationships/hyperlink" Target="https://www.google.com/maps/search/41.246764,+69.327693?entry=tts&amp;g_ep=EgoyMDI1MDUxMy4xIPu8ASoASAFQAw%3D%3D&amp;skid=1ceb5344-ba73-4c02-be03-8b3df2ef63a0" TargetMode="External"/><Relationship Id="rId222" Type="http://schemas.openxmlformats.org/officeDocument/2006/relationships/hyperlink" Target="https://www.google.com/maps/search/41.283720,+69.340028?coh=245189&amp;entry=tts&amp;g_ep=EgoyMDI1MDMwMy4wIPu8ASoJLDEwMjExNDU1SAFQAw%3D%3D" TargetMode="External"/><Relationship Id="rId243" Type="http://schemas.openxmlformats.org/officeDocument/2006/relationships/hyperlink" Target="https://www.google.com/maps/search/41.282881,+69.270136?entry=tts&amp;g_ep=EgoyMDI1MDUxMi4wIPu8ASoASAFQAw%3D%3D&amp;skid=a057fdf3-0d66-4504-83dd-8281c5c618ef" TargetMode="External"/><Relationship Id="rId264" Type="http://schemas.openxmlformats.org/officeDocument/2006/relationships/hyperlink" Target="https://www.google.com/maps/place/41%C2%B012'29.9%22N+69%C2%B019'55.9%22E/@41.208313,69.332183,609m/data=!3m2!1e3!4b1!4m4!3m3!8m2!3d41.208313!4d69.332183?entry=ttu&amp;g_ep=EgoyMDI1MDUyMS4wIKXMDSoASAFQAw%3D%3D" TargetMode="External"/><Relationship Id="rId285" Type="http://schemas.openxmlformats.org/officeDocument/2006/relationships/hyperlink" Target="https://www.google.ru/maps/place/41%C2%B012'57.2%22N+69%C2%B014'16.2%22E/@41.215888,69.237833,608m/data=!3m2!1e3!4b1!4m4!3m3!8m2!3d41.215888!4d69.237833?entry=ttu&amp;g_ep=EgoyMDI1MDUyMS4wIKXMDSoASAFQAw%3D%3D" TargetMode="External"/><Relationship Id="rId17" Type="http://schemas.openxmlformats.org/officeDocument/2006/relationships/hyperlink" Target="https://www.google.com/maps/search/41.292184,+69.258395?entry=tts&amp;g_ep=EgoyMDI1MDEyOS4xIPu8ASoASAFQAw%3D%3D" TargetMode="External"/><Relationship Id="rId38" Type="http://schemas.openxmlformats.org/officeDocument/2006/relationships/hyperlink" Target="https://www.google.com/maps/search/41.298924,+69.146366?entry=tts&amp;g_ep=EgoyMDI1MDIwMi4wIPu8ASoASAFQAw%3D%3D" TargetMode="External"/><Relationship Id="rId59" Type="http://schemas.openxmlformats.org/officeDocument/2006/relationships/hyperlink" Target="https://www.google.com/maps/search/41.277258,+69.171398?entry=tts&amp;g_ep=EgoyMDI1MDIwMi4wIPu8ASoASAFQAw%3D%3D" TargetMode="External"/><Relationship Id="rId103" Type="http://schemas.openxmlformats.org/officeDocument/2006/relationships/hyperlink" Target="https://www.google.com/maps/search/41.333732,+69.323556?entry=tts&amp;g_ep=EgoyMDI1MDQxNC4xIPu8ASoASAFQAw%3D%3D&amp;skid=8f102786-5466-4e16-929b-04724c3a0193" TargetMode="External"/><Relationship Id="rId124" Type="http://schemas.openxmlformats.org/officeDocument/2006/relationships/hyperlink" Target="https://www.google.com/maps/search/41.337987,+69.319889?entry=tts&amp;g_ep=EgoyMDI1MDMyNS4xIPu8ASoASAFQAw%3D%3D&amp;skid=2ba1ba35-652c-4bed-a0d1-87b186ae55d1" TargetMode="External"/><Relationship Id="rId310" Type="http://schemas.openxmlformats.org/officeDocument/2006/relationships/hyperlink" Target="https://www.google.com/maps/search/41.192441,+69.194950?coh=245187&amp;entry=tts&amp;g_ep=EgoyMDI1MDMwNC4wIPu8ASoJLDEwMjExNDUzSAFQAw%3D%3D" TargetMode="External"/><Relationship Id="rId70" Type="http://schemas.openxmlformats.org/officeDocument/2006/relationships/hyperlink" Target="https://www.google.com/maps/search/41.359644,+69.238416?entry=tts&amp;g_ep=EgoyMDI1MDMwNC4wIPu8ASoASAFQAw%3D%3D" TargetMode="External"/><Relationship Id="rId91" Type="http://schemas.openxmlformats.org/officeDocument/2006/relationships/hyperlink" Target="https://www.google.com/maps/search/41.313467,+69.281626?entry=tts&amp;g_ep=EgoyMDI1MDUxMy4xIPu8ASoASAFQAw%3D%3D&amp;skid=6203ad63-b76b-4363-b86a-4ae9601f2dcc" TargetMode="External"/><Relationship Id="rId145" Type="http://schemas.openxmlformats.org/officeDocument/2006/relationships/hyperlink" Target="https://www.google.com/maps/search/41.327291,+69.237236?entry=tts&amp;g_ep=EgoyMDI1MDUxMy4xIPu8ASoASAFQAw%3D%3D&amp;skid=a4a43093-2cbb-4cb9-b1ab-580521cd7877" TargetMode="External"/><Relationship Id="rId166" Type="http://schemas.openxmlformats.org/officeDocument/2006/relationships/hyperlink" Target="https://www.google.com/maps/search/41.328721,+69.267840?entry=tts&amp;g_ep=EgoyMDI1MDUxMy4xIPu8ASoASAFQAw%3D%3D&amp;skid=0e96a9e5-2308-4f5a-a2fe-6f14fb5b33ce" TargetMode="External"/><Relationship Id="rId187" Type="http://schemas.openxmlformats.org/officeDocument/2006/relationships/hyperlink" Target="https://www.google.com/maps/place/Obolon/data=!4m7!3m6!1s0x38ae8b99d86042bf:0x790df86148f94d5c!8m2!3d41.2933284!4d69.1975456!16s%2Fg%2F11k3hjbwmf!19sChIJv0Jg2JmLrjgRXE35SGH4DXk?coh=245187&amp;entry=tts&amp;g_ep=EgoyMDI1MDUxMi4wIPu8ASoJLDEwMjExNDUzSAFQAw%3D%3D&amp;skid=16e326cf-8766-47c6-95f5-36c55d10c986" TargetMode="External"/><Relationship Id="rId331" Type="http://schemas.openxmlformats.org/officeDocument/2006/relationships/hyperlink" Target="https://www.google.com/maps/search/41.279189,+69.282018?entry=tts&amp;g_ep=EgoyMDI1MDIwMy4wIPu8ASoASAFQAw%3D%3D" TargetMode="External"/><Relationship Id="rId1" Type="http://schemas.openxmlformats.org/officeDocument/2006/relationships/hyperlink" Target="https://www.google.com/maps/search/41.229063,+69.207760?entry=tts&amp;g_ep=EgoyMDI1MDUxNS4xIPu8ASoASAFQAw%3D%3D&amp;skid=4074b230-e25a-4bb0-b846-7babbabc791d" TargetMode="External"/><Relationship Id="rId212" Type="http://schemas.openxmlformats.org/officeDocument/2006/relationships/hyperlink" Target="https://www.google.com/maps/search/41.302691,+69.360501?entry=tts&amp;g_ep=EgoyMDI1MDIwMi4wIPu8ASoASAFQAw%3D%3D" TargetMode="External"/><Relationship Id="rId233" Type="http://schemas.openxmlformats.org/officeDocument/2006/relationships/hyperlink" Target="https://www.google.com/maps/search/41.265570,+69.322690?entry=tts&amp;g_ep=EgoyMDI1MDEyOS4xIPu8ASoASAFQAw%3D%3D" TargetMode="External"/><Relationship Id="rId254" Type="http://schemas.openxmlformats.org/officeDocument/2006/relationships/hyperlink" Target="https://www.google.com/maps/place/41%C2%B015'04.3%22N+69%C2%B022'24.1%22E/@41.251181,69.373366,608m/data=!3m2!1e3!4b1!4m4!3m3!8m2!3d41.251181!4d69.373366?entry=ttu&amp;g_ep=EgoyMDI1MDUyMS4wIKXMDSoASAFQAw%3D%3D" TargetMode="External"/><Relationship Id="rId28" Type="http://schemas.openxmlformats.org/officeDocument/2006/relationships/hyperlink" Target="https://www.google.com/maps/search/41.296325,+69.267939?entry=tts&amp;g_ep=EgoyMDI1MDEyOS4xIPu8ASoASAFQAw%3D%3D" TargetMode="External"/><Relationship Id="rId49" Type="http://schemas.openxmlformats.org/officeDocument/2006/relationships/hyperlink" Target="https://www.google.com/maps/search/41.294160,+69.174655?entry=tts&amp;g_ep=EgoyMDI1MDIwMi4wIPu8ASoASAFQAw%3D%3D" TargetMode="External"/><Relationship Id="rId114" Type="http://schemas.openxmlformats.org/officeDocument/2006/relationships/hyperlink" Target="https://www.google.com/maps/search/41.349754,+69.349013?entry=tts&amp;g_ep=EgoyMDI1MDQxNC4xIPu8ASoASAFQAw%3D%3D&amp;skid=6a7f2a57-8efa-4909-a9b9-00bc34b2f408" TargetMode="External"/><Relationship Id="rId275" Type="http://schemas.openxmlformats.org/officeDocument/2006/relationships/hyperlink" Target="https://www.google.ru/maps/place/41%C2%B012'54.9%22N+69%C2%B012'48.5%22E/@41.21525,69.2134722,17z/data=!3m1!4b1!4m4!3m3!8m2!3d41.21525!4d69.2134722?entry=ttu&amp;g_ep=EgoyMDI1MDUyMS4wIKXMDSoASAFQAw%3D%3D" TargetMode="External"/><Relationship Id="rId296" Type="http://schemas.openxmlformats.org/officeDocument/2006/relationships/hyperlink" Target="https://www.google.com/maps/place/41%C2%B012'48.9%22N+69%C2%B013'58.0%22E/@41.213594,69.232787,608m/data=!3m2!1e3!4b1!4m4!3m3!8m2!3d41.213594!4d69.232787?entry=ttu&amp;g_ep=EgoyMDI1MDUyMS4wIKXMDSoASAFQAw%3D%3D" TargetMode="External"/><Relationship Id="rId300" Type="http://schemas.openxmlformats.org/officeDocument/2006/relationships/hyperlink" Target="https://www.google.com/maps/search/41.253615,+69.305049?entry=tts&amp;g_ep=EgoyMDI1MDUxMi4wIPu8ASoASAFQAw%3D%3D&amp;skid=86658804-fd35-4db6-9151-e824a43c3f26" TargetMode="External"/><Relationship Id="rId60" Type="http://schemas.openxmlformats.org/officeDocument/2006/relationships/hyperlink" Target="https://www.google.com/maps/search/41.275634,+69.171550?coh=219680&amp;utm_campaign=tt-rcs&amp;entry=tts&amp;g_ep=EgoyMDI1MDIwMi4wIPu8ASoASAFQAw%3D%3D" TargetMode="External"/><Relationship Id="rId81" Type="http://schemas.openxmlformats.org/officeDocument/2006/relationships/hyperlink" Target="https://www.google.by/maps/search/41.348424,+69.232097?coh=219680&amp;utm_campaign=tt-rcs&amp;entry=tts&amp;g_ep=EgoyMDI1MDEyOS4xIPu8ASoASAFQAw%3D%3D" TargetMode="External"/><Relationship Id="rId135" Type="http://schemas.openxmlformats.org/officeDocument/2006/relationships/hyperlink" Target="https://www.google.com/maps/search/41.326579,+69.243046?entry=tts&amp;g_ep=EgoyMDI1MDIwMi4wIPu8ASoJLDEwMjExMjM0SAFQAw%3D%3D" TargetMode="External"/><Relationship Id="rId156" Type="http://schemas.openxmlformats.org/officeDocument/2006/relationships/hyperlink" Target="https://www.google.com/maps/search/41.303112,+69.216069?entry=tts&amp;g_ep=EgoyMDI1MDEyOS4xIPu8ASoASAFQAw%3D%3D" TargetMode="External"/><Relationship Id="rId177" Type="http://schemas.openxmlformats.org/officeDocument/2006/relationships/hyperlink" Target="https://www.google.com/maps/place/41%C2%B015'54.4%22N+69%C2%B011'41.6%22E/@41.265108,69.194883,760m/data=!3m2!1e3!4b1!4m4!3m3!8m2!3d41.265108!4d69.194883?entry=ttu&amp;g_ep=EgoyMDI1MDUyMS4wIKXMDSoASAFQAw%3D%3D" TargetMode="External"/><Relationship Id="rId198" Type="http://schemas.openxmlformats.org/officeDocument/2006/relationships/hyperlink" Target="https://www.google.com/maps/place/Xalq+banki/@41.2912839,69.2107688,313m/data=!3m1!1e3!4m6!3m5!1s0x38ae8ba5fe515117:0xe9a4c9d43302324d!8m2!3d41.29156!4d69.212165!16s%2Fg%2F11y3rgc8sv?entry=tts&amp;g_ep=EgoyMDI1MDUxMy4xIPu8ASoASAFQAw%3D%3D&amp;skid=2f815148-4982-447c-a72d-2f71ea58ea29" TargetMode="External"/><Relationship Id="rId321" Type="http://schemas.openxmlformats.org/officeDocument/2006/relationships/hyperlink" Target="https://www.google.com/maps/search/41.202332,+69.217699?coh=245187&amp;entry=tts&amp;g_ep=EgoyMDI1MDMwNC4wIPu8ASoJLDEwMjExNDUzSAFQAw%3D%3D" TargetMode="External"/><Relationship Id="rId202" Type="http://schemas.openxmlformats.org/officeDocument/2006/relationships/hyperlink" Target="https://www.google.com/maps/search/41.304050,+69.376714?entry=tts&amp;g_ep=EgoyMDI1MDUxMy4xIPu8ASoASAFQAw%3D%3D&amp;skid=70952f04-401f-445a-93d2-4279e8e0dbda" TargetMode="External"/><Relationship Id="rId223" Type="http://schemas.openxmlformats.org/officeDocument/2006/relationships/hyperlink" Target="https://www.google.com/maps/search/41.291836,+69.332182?coh=245189&amp;entry=tts&amp;g_ep=EgoyMDI1MDIyNC4wIPu8ASoJLDEwMjExNDU1SAFQAw%3D%3D" TargetMode="External"/><Relationship Id="rId244" Type="http://schemas.openxmlformats.org/officeDocument/2006/relationships/hyperlink" Target="https://www.google.com/maps/place/41%C2%B015'01.5%22N+69%C2%B023'16.4%22E/@41.250417,69.387889,608m/data=!3m2!1e3!4b1!4m4!3m3!8m2!3d41.250417!4d69.387889?entry=ttu&amp;g_ep=EgoyMDI1MDUyMS4wIKXMDSoASAFQAw%3D%3D" TargetMode="External"/><Relationship Id="rId18" Type="http://schemas.openxmlformats.org/officeDocument/2006/relationships/hyperlink" Target="https://www.google.com/maps/search/41.276309,+69.239704?entry=tts&amp;g_ep=EgoyMDI1MDEyOS4xIPu8ASoASAFQAw%3D%3D" TargetMode="External"/><Relationship Id="rId39" Type="http://schemas.openxmlformats.org/officeDocument/2006/relationships/hyperlink" Target="https://www.google.com/maps/search/41.307579,+69.158599?entry=tts&amp;g_ep=EgoyMDI1MDIwMy4wIPu8ASoASAFQAw%3D%3D" TargetMode="External"/><Relationship Id="rId265" Type="http://schemas.openxmlformats.org/officeDocument/2006/relationships/hyperlink" Target="https://www.google.com/maps/place/41%C2%B013'17.0%22N+69%C2%B019'55.0%22E/@41.221386,69.331956,608m/data=!3m2!1e3!4b1!4m4!3m3!8m2!3d41.221386!4d69.331956?entry=ttu&amp;g_ep=EgoyMDI1MDUyMS4wIKXMDSoASAFQAw%3D%3D" TargetMode="External"/><Relationship Id="rId286" Type="http://schemas.openxmlformats.org/officeDocument/2006/relationships/hyperlink" Target="https://www.google.ru/maps/place/41%C2%B014'15.1%22N+69%C2%B013'03.3%22E/@41.237528,69.217569,608m/data=!3m2!1e3!4b1!4m4!3m3!8m2!3d41.237528!4d69.217569?entry=ttu&amp;g_ep=EgoyMDI1MDUyMS4wIKXMDSoASAFQAw%3D%3D" TargetMode="External"/><Relationship Id="rId50" Type="http://schemas.openxmlformats.org/officeDocument/2006/relationships/hyperlink" Target="https://www.google.com/maps/search/41.292356,+69.168292?entry=tts&amp;g_ep=EgoyMDI1MDIwMi4wIPu8ASoASAFQAw%3D%3D" TargetMode="External"/><Relationship Id="rId104" Type="http://schemas.openxmlformats.org/officeDocument/2006/relationships/hyperlink" Target="https://www.google.com/maps/search/41.316582,+69.327741?entry=tts&amp;g_ep=EgoyMDI1MDQxNC4xIPu8ASoASAFQAw%3D%3D&amp;skid=99f98dd2-78f4-4768-822d-a7709e7fdceb" TargetMode="External"/><Relationship Id="rId125" Type="http://schemas.openxmlformats.org/officeDocument/2006/relationships/hyperlink" Target="https://www.google.com/maps/search/41.343541,+69.334866?entry=tts&amp;g_ep=EgoyMDI1MDMyNS4xIPu8ASoASAFQAw%3D%3D&amp;skid=ea312aec-20d1-4922-b693-5f24bde04744" TargetMode="External"/><Relationship Id="rId146" Type="http://schemas.openxmlformats.org/officeDocument/2006/relationships/hyperlink" Target="https://www.google.com/maps/search/41.315390,+69.239699?entry=tts&amp;g_ep=EgoyMDI1MDUxMy4xIPu8ASoASAFQAw%3D%3D&amp;skid=1619e4ba-885c-4808-875e-6eca8c9bf410" TargetMode="External"/><Relationship Id="rId167" Type="http://schemas.openxmlformats.org/officeDocument/2006/relationships/hyperlink" Target="https://www.google.com/maps/search/41.322323,+69.234337?entry=tts&amp;g_ep=EgoyMDI1MDIwMi4wIPu8ASoASAFQAw%3D%3D" TargetMode="External"/><Relationship Id="rId188" Type="http://schemas.openxmlformats.org/officeDocument/2006/relationships/hyperlink" Target="https://www.google.com.co/maps/search/41.300088,+69.200103?coh=245187&amp;entry=tts&amp;g_ep=EgoyMDI1MDMwNC4wIPu8ASoJLDEwMjExNDUzSAFQAw%3D%3D" TargetMode="External"/><Relationship Id="rId311" Type="http://schemas.openxmlformats.org/officeDocument/2006/relationships/hyperlink" Target="https://www.google.com/maps/search/41.199158,+69.210367?coh=245187&amp;entry=tts&amp;g_ep=EgoyMDI1MDMwNC4wIPu8ASoJLDEwMjExNDUzSAFQAw%3D%3D" TargetMode="External"/><Relationship Id="rId332" Type="http://schemas.openxmlformats.org/officeDocument/2006/relationships/hyperlink" Target="https://www.google.com/maps/search/41.277701,+69.279905?entry=tts&amp;g_ep=EgoyMDI1MDIwMy4wIPu8ASoASAFQAw%3D%3D" TargetMode="External"/><Relationship Id="rId71" Type="http://schemas.openxmlformats.org/officeDocument/2006/relationships/hyperlink" Target="https://www.google.com/maps/search/41.357242,+69.207443?entry=tts&amp;g_ep=EgoyMDI1MDMwNC4wIPu8ASoASAFQAw%3D%3D" TargetMode="External"/><Relationship Id="rId92" Type="http://schemas.openxmlformats.org/officeDocument/2006/relationships/hyperlink" Target="https://www.google.com/maps/search/41.315566,+69.327283?entry=tts&amp;g_ep=EgoyMDI1MDUxMy4xIPu8ASoASAFQAw%3D%3D&amp;skid=e6b9e9f3-08f2-42fd-acb6-4b24f2f7d0ad" TargetMode="External"/><Relationship Id="rId213" Type="http://schemas.openxmlformats.org/officeDocument/2006/relationships/hyperlink" Target="https://www.google.com/maps/search/41.290277,+69.363240?coh=245189&amp;entry=tts&amp;g_ep=EgoyMDI1MDMwNC4wIPu8ASoJLDEwMjExNDU1SAFQAw%3D%3D" TargetMode="External"/><Relationship Id="rId234" Type="http://schemas.openxmlformats.org/officeDocument/2006/relationships/hyperlink" Target="https://www.google.com/maps/search/41.250932,+69.329349?entry=tts&amp;g_ep=EgoyMDI1MDEyOS4xIPu8ASoASAFQAw%3D%3D" TargetMode="External"/><Relationship Id="rId2" Type="http://schemas.openxmlformats.org/officeDocument/2006/relationships/hyperlink" Target="https://www.google.com/maps/search/41.237315,+69.217584?entry=tts&amp;g_ep=EgoyMDI1MDUxNS4xIPu8ASoASAFQAw%3D%3D&amp;skid=fab35bed-99ea-434a-a9d3-66b1151eaa78" TargetMode="External"/><Relationship Id="rId29" Type="http://schemas.openxmlformats.org/officeDocument/2006/relationships/hyperlink" Target="https://www.google.com/maps/search/41.278489,+69.263438?entry=tts&amp;g_ep=EgoyMDI1MDEyOS4xIPu8ASoASAFQAw%3D%3D" TargetMode="External"/><Relationship Id="rId255" Type="http://schemas.openxmlformats.org/officeDocument/2006/relationships/hyperlink" Target="https://www.google.com/maps/place/41%C2%B015'13.5%22N+69%C2%B022'47.7%22E/@41.25374,69.379908,608m/data=!3m2!1e3!4b1!4m4!3m3!8m2!3d41.25374!4d69.379908?entry=ttu&amp;g_ep=EgoyMDI1MDUyMS4wIKXMDSoASAFQAw%3D%3D" TargetMode="External"/><Relationship Id="rId276" Type="http://schemas.openxmlformats.org/officeDocument/2006/relationships/hyperlink" Target="https://www.google.ru/maps/place/41%C2%B014'41.5%22N+69%C2%B015'24.7%22E/@41.244862,69.256866,17z/data=!3m1!4b1!4m4!3m3!8m2!3d41.244862!4d69.256866?entry=ttu&amp;g_ep=EgoyMDI1MDUyMS4wIKXMDSoASAFQAw%3D%3D" TargetMode="External"/><Relationship Id="rId297" Type="http://schemas.openxmlformats.org/officeDocument/2006/relationships/hyperlink" Target="https://www.google.com/maps/place/41%C2%B015'11.7%22N+69%C2%B017'26.1%22E/@41.253241,69.290581,608m/data=!3m2!1e3!4b1!4m4!3m3!8m2!3d41.253241!4d69.290581?entry=ttu&amp;g_ep=EgoyMDI1MDUyMS4wIKXMDSoASAFQAw%3D%3D" TargetMode="External"/><Relationship Id="rId40" Type="http://schemas.openxmlformats.org/officeDocument/2006/relationships/hyperlink" Target="https://www.google.com/maps/search/41.313510,+69.152269?entry=tts&amp;g_ep=EgoyMDI1MDMwMi4wIPu8ASoASAFQAw%3D%3D" TargetMode="External"/><Relationship Id="rId115" Type="http://schemas.openxmlformats.org/officeDocument/2006/relationships/hyperlink" Target="https://www.google.com/maps/search/41.324590,+69.316965?entry=tts&amp;g_ep=EgoyMDI1MDQxNC4xIPu8ASoASAFQAw%3D%3D&amp;skid=0c14115c-2fd7-4929-a4bf-abe8a19b8000" TargetMode="External"/><Relationship Id="rId136" Type="http://schemas.openxmlformats.org/officeDocument/2006/relationships/hyperlink" Target="https://www.google.com/maps/search/41.322886,+69.229040?entry=tts&amp;g_ep=EgoyMDI1MDIwMi4wIPu8ASoJLDEwMjExMjM0SAFQAw%3D%3D" TargetMode="External"/><Relationship Id="rId157" Type="http://schemas.openxmlformats.org/officeDocument/2006/relationships/hyperlink" Target="https://www.google.com/maps/search/41.306166,+69.211776?entry=tts&amp;g_ep=EgoyMDI1MDEyOS4xIPu8ASoASAFQAw%3D%3D" TargetMode="External"/><Relationship Id="rId178" Type="http://schemas.openxmlformats.org/officeDocument/2006/relationships/hyperlink" Target="https://www.google.com.co/maps/search/41.263973,+69.197631?coh=245187&amp;entry=tts&amp;g_ep=EgoyMDI1MDMwNC4wIPu8ASoJLDEwMjExNDUzSAFQAw%3D%3D" TargetMode="External"/><Relationship Id="rId301" Type="http://schemas.openxmlformats.org/officeDocument/2006/relationships/hyperlink" Target="https://www.google.com/maps/search/41.240179,+69.328717?entry=tts&amp;g_ep=EgoyMDI1MDUxMi4wIPu8ASoASAFQAw%3D%3D&amp;skid=7c0e04e0-234f-4a7f-bd6e-f7f3841838fe" TargetMode="External"/><Relationship Id="rId322" Type="http://schemas.openxmlformats.org/officeDocument/2006/relationships/hyperlink" Target="https://www.google.com/maps/search/41.194264,+69.211763?coh=245187&amp;entry=tts&amp;g_ep=EgoyMDI1MDMwNC4wIPu8ASoJLDEwMjExNDUzSAFQAw%3D%3D" TargetMode="External"/><Relationship Id="rId61" Type="http://schemas.openxmlformats.org/officeDocument/2006/relationships/hyperlink" Target="https://www.google.com/maps/place/Zdaniye+Byvshego+Kafe+%22Moskva%22,+Lutfi+Street,+100131,+Tashkent,+Uzbekistan/@41.2782853,69.1776272,114m/data=!3m1!1e3!4m6!3m5!1s0x38ae899a809c1ff9:0xb28823a92cfe43fb!8m2!3d41.2782931!4d69.1775372!16s%2Fg%2F12hnnvnch?entry=tts&amp;g_ep=EgoyMDI1MDIwMi4wIPu8ASoASAFQAw%3D%3D" TargetMode="External"/><Relationship Id="rId82" Type="http://schemas.openxmlformats.org/officeDocument/2006/relationships/hyperlink" Target="https://www.google.by/maps/search/41.341125,+69.252806?coh=219680&amp;utm_campaign=tt-rcs&amp;entry=tts&amp;g_ep=EgoyMDI1MDEyOS4xIPu8ASoASAFQAw%3D%3D" TargetMode="External"/><Relationship Id="rId199" Type="http://schemas.openxmlformats.org/officeDocument/2006/relationships/hyperlink" Target="https://www.google.com/maps/place/Orient+Securities/@41.2936701,69.219924,415m/data=!3m1!1e3!4m6!3m5!1s0x38ae8a4b046fffff:0x1322bc50bb6c3e8d!8m2!3d41.2936606!4d69.2196319!16s%2Fg%2F11h4tn6j04?entry=tts&amp;g_ep=EgoyMDI1MDUxMy4xIPu8ASoASAFQAw%3D%3D&amp;skid=ae5b1baa-f8b8-4a69-b12b-9a9710ee9871" TargetMode="External"/><Relationship Id="rId203" Type="http://schemas.openxmlformats.org/officeDocument/2006/relationships/hyperlink" Target="https://www.google.com/maps/search/41.258701,+69.359491?entry=tts&amp;g_ep=EgoyMDI1MDUxMy4xIPu8ASoASAFQAw%3D%3D&amp;skid=5a78e0b9-3b83-4122-88d0-f82a23b3063c" TargetMode="External"/><Relationship Id="rId19" Type="http://schemas.openxmlformats.org/officeDocument/2006/relationships/hyperlink" Target="https://www.google.com/maps/search/41.264546,+69.232882?entry=tts&amp;g_ep=EgoyMDI1MDEyOS4xIPu8ASoASAFQAw%3D%3D" TargetMode="External"/><Relationship Id="rId224" Type="http://schemas.openxmlformats.org/officeDocument/2006/relationships/hyperlink" Target="https://www.google.com/maps/search/41.289359,+69.341375?coh=245189&amp;entry=tts&amp;g_ep=EgoyMDI1MDMwNC4wIPu8ASoJLDEwMjExNDU1SAFQAw%3D%3D" TargetMode="External"/><Relationship Id="rId245" Type="http://schemas.openxmlformats.org/officeDocument/2006/relationships/hyperlink" Target="https://www.google.com/maps/place/41%C2%B014'34.4%22N+69%C2%B021'24.0%22E/@41.242875,69.356678,608m/data=!3m2!1e3!4b1!4m4!3m3!8m2!3d41.242875!4d69.356678?entry=ttu&amp;g_ep=EgoyMDI1MDUyMS4wIKXMDSoASAFQAw%3D%3D" TargetMode="External"/><Relationship Id="rId266" Type="http://schemas.openxmlformats.org/officeDocument/2006/relationships/hyperlink" Target="https://www.google.com/maps/place/41%C2%B014'48.5%22N+69%C2%B023'18.0%22E/@41.246802,69.388326,608m/data=!3m2!1e3!4b1!4m4!3m3!8m2!3d41.246802!4d69.388326?entry=ttu&amp;g_ep=EgoyMDI1MDUyMS4wIKXMDSoASAFQAw%3D%3D" TargetMode="External"/><Relationship Id="rId287" Type="http://schemas.openxmlformats.org/officeDocument/2006/relationships/hyperlink" Target="https://www.google.com/maps/place/41%C2%B015'20.7%22N+69%C2%B017'48.5%22E/@41.255736,69.296794,608m/data=!3m2!1e3!4b1!4m4!3m3!8m2!3d41.255736!4d69.296794?entry=ttu&amp;g_ep=EgoyMDI1MDUyMS4wIKXMDSoASAFQAw%3D%3D" TargetMode="External"/><Relationship Id="rId30" Type="http://schemas.openxmlformats.org/officeDocument/2006/relationships/hyperlink" Target="https://www.google.ru/maps/search/41.276592,+69.251571?entry=tts&amp;g_ep=EgoyMDI1MDEyOS4xIPu8ASoASAFQAw%3D%3D" TargetMode="External"/><Relationship Id="rId105" Type="http://schemas.openxmlformats.org/officeDocument/2006/relationships/hyperlink" Target="https://www.google.com/maps/search/41.316842,+69.328446?entry=tts&amp;g_ep=EgoyMDI1MDQxNC4xIPu8ASoASAFQAw%3D%3D&amp;skid=70ce5295-a2eb-4ae3-a5d8-c1f9b6a687f8" TargetMode="External"/><Relationship Id="rId126" Type="http://schemas.openxmlformats.org/officeDocument/2006/relationships/hyperlink" Target="https://www.google.com/maps/search/41.343012,+69.330275?entry=tts&amp;g_ep=EgoyMDI1MDMyNS4xIPu8ASoASAFQAw%3D%3D&amp;skid=32155586-8fa9-46e5-b427-5fc0ed7bedaa" TargetMode="External"/><Relationship Id="rId147" Type="http://schemas.openxmlformats.org/officeDocument/2006/relationships/hyperlink" Target="https://www.google.com/maps/search/41.301870,+69.231813?entry=tts&amp;g_ep=EgoyMDI1MDIwMi4wIPu8ASoASAFQAw%3D%3D" TargetMode="External"/><Relationship Id="rId168" Type="http://schemas.openxmlformats.org/officeDocument/2006/relationships/hyperlink" Target="https://www.google.com/maps/search/41.303691,+69.210959?entry=tts&amp;g_ep=EgoyMDI1MDUxMy4xIPu8ASoASAFQAw%3D%3D&amp;skid=369ca6f5-1259-4e27-809c-525bdc4e4542" TargetMode="External"/><Relationship Id="rId312" Type="http://schemas.openxmlformats.org/officeDocument/2006/relationships/hyperlink" Target="https://www.google.com/maps/search/41.207729,+69.230638?coh=245187&amp;entry=tts&amp;g_ep=EgoyMDI1MDMwNC4wIPu8ASoJLDEwMjExNDUzSAFQAw%3D%3D" TargetMode="External"/><Relationship Id="rId333" Type="http://schemas.openxmlformats.org/officeDocument/2006/relationships/hyperlink" Target="https://www.google.com/maps/search/41.272714,+69.306066?entry=tts&amp;g_ep=EgoyMDI1MDIwMy4wIPu8ASoASAFQAw%3D%3D" TargetMode="External"/><Relationship Id="rId51" Type="http://schemas.openxmlformats.org/officeDocument/2006/relationships/hyperlink" Target="https://www.google.com/maps/place/Donella-Uchtepa/@41.2916696,69.1790679,544m/data=!3m1!1e3!4m6!3m5!1s0x38ae891924b33a2b:0xf0fda55ae288fedd!8m2!3d41.2916696!4d69.180599!16s%2Fg%2F11rhf6x4x1?entry=tts&amp;g_ep=EgoyMDI1MDIwMi4wIPu8ASoASAFQAw%3D%3D" TargetMode="External"/><Relationship Id="rId72" Type="http://schemas.openxmlformats.org/officeDocument/2006/relationships/hyperlink" Target="https://www.google.com/maps/search/41.342195,+69.231119?entry=tts&amp;g_ep=EgoyMDI1MDMwNC4wIPu8ASoASAFQAw%3D%3D" TargetMode="External"/><Relationship Id="rId93" Type="http://schemas.openxmlformats.org/officeDocument/2006/relationships/hyperlink" Target="https://www.google.com/maps/search/41.346516,+69.360300?entry=tts&amp;g_ep=EgoyMDI1MDUxMi4wIPu8ASoASAFQAw%3D%3D&amp;skid=14be9b4f-90f3-4647-9d9a-9f30401492f3" TargetMode="External"/><Relationship Id="rId189" Type="http://schemas.openxmlformats.org/officeDocument/2006/relationships/hyperlink" Target="https://www.google.com/maps/search/41.297576,+69.204538?entry=tts&amp;g_ep=EgoyMDI1MDIwMy4wIPu8ASoASAFQAw%3D%3D" TargetMode="External"/><Relationship Id="rId3" Type="http://schemas.openxmlformats.org/officeDocument/2006/relationships/hyperlink" Target="https://www.google.com/maps/search/41.245452,+69.227203?entry=tts&amp;g_ep=EgoyMDI1MDUxNS4xIPu8ASoASAFQAw%3D%3D&amp;skid=78209548-3bd0-410c-9f3f-9ef8d9b420f8" TargetMode="External"/><Relationship Id="rId214" Type="http://schemas.openxmlformats.org/officeDocument/2006/relationships/hyperlink" Target="https://www.google.com/maps/search/41.305163,+69.309842?entry=tts&amp;g_ep=EgoyMDI1MDIwMi4wIPu8ASoASAFQAw%3D%3D" TargetMode="External"/><Relationship Id="rId235" Type="http://schemas.openxmlformats.org/officeDocument/2006/relationships/hyperlink" Target="https://www.google.com/maps/search/41.294736,+69.332777?entry=tts&amp;g_ep=EgoyMDI1MDEyOS4xIPu8ASoASAFQAw%3D%3D" TargetMode="External"/><Relationship Id="rId256" Type="http://schemas.openxmlformats.org/officeDocument/2006/relationships/hyperlink" Target="https://www.google.com/maps/place/41%C2%B014'52.2%22N+69%C2%B022'09.0%22E/@41.247829,69.369167,608m/data=!3m2!1e3!4b1!4m4!3m3!8m2!3d41.247829!4d69.369167?entry=ttu&amp;g_ep=EgoyMDI1MDUyMS4wIKXMDSoASAFQAw%3D%3D" TargetMode="External"/><Relationship Id="rId277" Type="http://schemas.openxmlformats.org/officeDocument/2006/relationships/hyperlink" Target="https://www.google.ru/maps/place/41%C2%B015'12.0%22N+69%C2%B016'30.8%22E/@41.253343,69.275213,17z/data=!3m1!4b1!4m4!3m3!8m2!3d41.253343!4d69.275213?entry=ttu&amp;g_ep=EgoyMDI1MDUyMS4wIKXMDSoASAFQAw%3D%3D" TargetMode="External"/><Relationship Id="rId298" Type="http://schemas.openxmlformats.org/officeDocument/2006/relationships/hyperlink" Target="https://www.google.com/maps/search/41.278639,+69.288094?entry=tts&amp;g_ep=EgoyMDI1MDUxMi4wIPu8ASoASAFQAw%3D%3D&amp;skid=3bff6a0d-8a63-4d81-b72e-22431c0af29b" TargetMode="External"/><Relationship Id="rId116" Type="http://schemas.openxmlformats.org/officeDocument/2006/relationships/hyperlink" Target="https://www.google.com/maps/search/41.316809,+69.318839?entry=tts&amp;g_ep=EgoyMDI1MDQxNC4xIPu8ASoASAFQAw%3D%3D&amp;skid=56667028-38b9-4cae-a491-b51fe9cc2c12" TargetMode="External"/><Relationship Id="rId137" Type="http://schemas.openxmlformats.org/officeDocument/2006/relationships/hyperlink" Target="https://www.google.com/maps/place/41%C2%B018'27.3%22N+69%C2%B013'04.9%22E/@41.307578,69.21804,759m/data=!3m2!1e3!4b1!4m4!3m3!8m2!3d41.307578!4d69.21804?entry=ttu&amp;g_ep=EgoyMDI1MDUyMS4wIKXMDSoASAFQAw%3D%3D" TargetMode="External"/><Relationship Id="rId158" Type="http://schemas.openxmlformats.org/officeDocument/2006/relationships/hyperlink" Target="https://www.google.com/maps/search/41.334361,+69.205424?entry=tts&amp;g_ep=EgoyMDI1MDEyOS4xIPu8ASoASAFQAw%3D%3D" TargetMode="External"/><Relationship Id="rId302" Type="http://schemas.openxmlformats.org/officeDocument/2006/relationships/hyperlink" Target="https://www.google.com/maps/search/41.228854,+69.256003?entry=tts&amp;g_ep=EgoyMDI1MDUxMi4wIPu8ASoASAFQAw%3D%3D&amp;skid=395bad5e-5733-4ffd-9352-d32bfc290f00" TargetMode="External"/><Relationship Id="rId323" Type="http://schemas.openxmlformats.org/officeDocument/2006/relationships/hyperlink" Target="https://www.google.com/maps/search/41.202185,+69.244832?coh=245187&amp;entry=tts&amp;g_ep=EgoyMDI1MDMwNC4wIPu8ASoJLDEwMjExNDUzSAFQAw%3D%3D" TargetMode="External"/><Relationship Id="rId20" Type="http://schemas.openxmlformats.org/officeDocument/2006/relationships/hyperlink" Target="https://www.google.ru/maps/search/41.281042,+69.253363?entry=tts&amp;g_ep=EgoyMDI1MDEyOS4xIPu8ASoASAFQAw%3D%3D" TargetMode="External"/><Relationship Id="rId41" Type="http://schemas.openxmlformats.org/officeDocument/2006/relationships/hyperlink" Target="https://www.google.com/maps/place/41%C2%B017'56.1%22N+69%C2%B008'46.9%22E/@41.298924,69.146366,759m/data=!3m2!1e3!4b1!4m4!3m3!8m2!3d41.298924!4d69.146366?entry=ttu&amp;g_ep=EgoyMDI1MDUyMS4wIKXMDSoASAFQAw%3D%3D" TargetMode="External"/><Relationship Id="rId62" Type="http://schemas.openxmlformats.org/officeDocument/2006/relationships/hyperlink" Target="https://www.google.com/maps/search/41.277058,+69.182994?entry=tts&amp;g_ep=EgoyMDI1MDIwMi4wIPu8ASoASAFQAw%3D%3D" TargetMode="External"/><Relationship Id="rId83" Type="http://schemas.openxmlformats.org/officeDocument/2006/relationships/hyperlink" Target="https://www.google.by/maps/search/41.348710,+69.261274?coh=219680&amp;utm_campaign=tt-rcs&amp;entry=tts&amp;g_ep=EgoyMDI1MDEyOS4xIPu8ASoASAFQAw%3D%3D" TargetMode="External"/><Relationship Id="rId179" Type="http://schemas.openxmlformats.org/officeDocument/2006/relationships/hyperlink" Target="https://www.google.com/maps/search/41.262964,+69.208746?entry=tts&amp;g_ep=EgoyMDI1MDIwMy4wIPu8ASoASAFQAw%3D%3D" TargetMode="External"/><Relationship Id="rId190" Type="http://schemas.openxmlformats.org/officeDocument/2006/relationships/hyperlink" Target="https://www.google.com.co/maps/search/41.294052,+69.205683?coh=245187&amp;entry=tts&amp;g_ep=EgoyMDI1MDMwNC4wIPu8ASoJLDEwMjExNDUzSAFQAw%3D%3D" TargetMode="External"/><Relationship Id="rId204" Type="http://schemas.openxmlformats.org/officeDocument/2006/relationships/hyperlink" Target="https://www.google.com/maps/search/41.242558,+69.335540?entry=tts&amp;g_ep=EgoyMDI1MDUxMy4xIPu8ASoASAFQAw%3D%3D&amp;skid=9ecea15a-8317-47af-9b8a-12cbfac24ebc" TargetMode="External"/><Relationship Id="rId225" Type="http://schemas.openxmlformats.org/officeDocument/2006/relationships/hyperlink" Target="https://www.google.com/maps/search/41.298484,+69.337833?entry=tts&amp;g_ep=EgoyMDI1MDEyOS4xIPu8ASoASAFQAw%3D%3D" TargetMode="External"/><Relationship Id="rId246" Type="http://schemas.openxmlformats.org/officeDocument/2006/relationships/hyperlink" Target="https://www.google.com/maps/place/41%C2%B015'22.1%22N+69%C2%B022'27.7%22E/@41.256139,69.374363,608m/data=!3m2!1e3!4b1!4m4!3m3!8m2!3d41.256139!4d69.374363?entry=ttu&amp;g_ep=EgoyMDI1MDUyMS4wIKXMDSoASAFQAw%3D%3D" TargetMode="External"/><Relationship Id="rId267" Type="http://schemas.openxmlformats.org/officeDocument/2006/relationships/hyperlink" Target="https://www.google.com/maps/place/41%C2%B013'25.8%22N+69%C2%B020'29.5%22E/@41.223822,69.341537,608m/data=!3m2!1e3!4b1!4m4!3m3!8m2!3d41.223822!4d69.341537?entry=ttu&amp;g_ep=EgoyMDI1MDUyMS4wIKXMDSoASAFQAw%3D%3D" TargetMode="External"/><Relationship Id="rId288" Type="http://schemas.openxmlformats.org/officeDocument/2006/relationships/hyperlink" Target="https://www.google.ru/maps/place/41%C2%B013'31.6%22N+69%C2%B016'28.5%22E/@41.225439,69.274574,608m/data=!3m2!1e3!4b1!4m4!3m3!8m2!3d41.225439!4d69.274574?entry=ttu&amp;g_ep=EgoyMDI1MDUyMS4wIKXMDSoASAFQAw%3D%3D" TargetMode="External"/><Relationship Id="rId106" Type="http://schemas.openxmlformats.org/officeDocument/2006/relationships/hyperlink" Target="https://www.google.com/maps/search/41.331763,+69.447530?entry=tts&amp;g_ep=EgoyMDI1MDQxNC4xIPu8ASoASAFQAw%3D%3D&amp;skid=202c8bb2-d73c-40b1-a3f0-4138684cfc37" TargetMode="External"/><Relationship Id="rId127" Type="http://schemas.openxmlformats.org/officeDocument/2006/relationships/hyperlink" Target="https://www.google.com/maps/search/41.345348,+69.338211?entry=tts&amp;g_ep=EgoyMDI1MDMyNS4xIPu8ASoASAFQAw%3D%3D&amp;skid=8c98a6ff-1f23-40d2-b79f-086f81aef8a5" TargetMode="External"/><Relationship Id="rId313" Type="http://schemas.openxmlformats.org/officeDocument/2006/relationships/hyperlink" Target="https://www.google.com/maps/search/41.195409,+69.214269?coh=245187&amp;entry=tts&amp;g_ep=EgoyMDI1MDMwNC4wIPu8ASoJLDEwMjExNDUzSAFQAw%3D%3D" TargetMode="External"/><Relationship Id="rId10" Type="http://schemas.openxmlformats.org/officeDocument/2006/relationships/hyperlink" Target="https://maps.app.goo.gl/Kjnw2owHkWZj8Suk8" TargetMode="External"/><Relationship Id="rId31" Type="http://schemas.openxmlformats.org/officeDocument/2006/relationships/hyperlink" Target="https://www.google.com/maps/place/Chocolate+Askiya+bazar/@41.284046,69.2497075,759m/data=!3m1!1e3!4m6!3m5!1s0x38ae8bf2da92fee7:0x30cda53bbaf3c0ee!8m2!3d41.2848154!4d69.2504208!16s%2Fg%2F11kp_1yw1k?entry=ttu&amp;g_ep=EgoyMDI1MDUyMS4wIKXMDSoASAFQAw%3D%3D" TargetMode="External"/><Relationship Id="rId52" Type="http://schemas.openxmlformats.org/officeDocument/2006/relationships/hyperlink" Target="https://www.google.com/maps/search/41.289306,+69.186435?entry=tts&amp;g_ep=EgoyMDI1MDIwMi4wIPu8ASoASAFQAw%3D%3D" TargetMode="External"/><Relationship Id="rId73" Type="http://schemas.openxmlformats.org/officeDocument/2006/relationships/hyperlink" Target="https://www.google.com/maps/search/41.356685,+69.206254?entry=tts&amp;g_ep=EgoyMDI1MDMwNC4wIPu8ASoASAFQAw%3D%3D" TargetMode="External"/><Relationship Id="rId94" Type="http://schemas.openxmlformats.org/officeDocument/2006/relationships/hyperlink" Target="https://www.google.com/maps/search/41.316191,+69.296649?entry=tts&amp;g_ep=EgoyMDI1MDUxMi4wIPu8ASoASAFQAw%3D%3D&amp;skid=6120b460-8f1a-4593-9668-6522f471a307" TargetMode="External"/><Relationship Id="rId148" Type="http://schemas.openxmlformats.org/officeDocument/2006/relationships/hyperlink" Target="https://www.google.com/maps/search/41.304525,+69.207371?entry=tts&amp;g_ep=EgoyMDI1MDIwMi4wIPu8ASoASAFQAw%3D%3D" TargetMode="External"/><Relationship Id="rId169" Type="http://schemas.openxmlformats.org/officeDocument/2006/relationships/hyperlink" Target="https://www.google.com/maps/search/41.228130,+69.178345?entry=tts&amp;g_ep=EgoyMDI1MDIwMy4wIPu8ASoASAFQAw%3D%3D" TargetMode="External"/><Relationship Id="rId334" Type="http://schemas.openxmlformats.org/officeDocument/2006/relationships/printerSettings" Target="../printerSettings/printerSettings1.bin"/><Relationship Id="rId4" Type="http://schemas.openxmlformats.org/officeDocument/2006/relationships/hyperlink" Target="https://www.google.com/maps/search/41.216902,+69.222211?entry=tts&amp;g_ep=EgoyMDI1MDUxNS4xIPu8ASoASAFQAw%3D%3D&amp;skid=c0cbb7b0-d8d6-4817-8d14-e69045243a2c" TargetMode="External"/><Relationship Id="rId180" Type="http://schemas.openxmlformats.org/officeDocument/2006/relationships/hyperlink" Target="https://www.google.com/maps/search/41.262312,+69.203635?entry=tts&amp;g_ep=EgoyMDI1MDIwMy4wIPu8ASoASAFQAw%3D%3D" TargetMode="External"/><Relationship Id="rId215" Type="http://schemas.openxmlformats.org/officeDocument/2006/relationships/hyperlink" Target="https://www.google.com/maps/search/41.291195,+69.300794?coh=245189&amp;entry=tts&amp;g_ep=EgoyMDI1MDIxOS4xIPu8ASoJLDEwMjExNDU1SAFQAw%3D%3D" TargetMode="External"/><Relationship Id="rId236" Type="http://schemas.openxmlformats.org/officeDocument/2006/relationships/hyperlink" Target="https://www.google.com/maps/search/41.295187,+69.337744?entry=tts&amp;g_ep=EgoyMDI1MDEyOS4xIPu8ASoASAFQAw%3D%3D" TargetMode="External"/><Relationship Id="rId257" Type="http://schemas.openxmlformats.org/officeDocument/2006/relationships/hyperlink" Target="https://www.google.com/maps/place/41%C2%B014'30.5%22N+69%C2%B022'35.6%22E/@41.241793,69.376562,608m/data=!3m2!1e3!4b1!4m4!3m3!8m2!3d41.241793!4d69.376562?entry=ttu&amp;g_ep=EgoyMDI1MDUyMS4wIKXMDSoASAFQAw%3D%3D" TargetMode="External"/><Relationship Id="rId278" Type="http://schemas.openxmlformats.org/officeDocument/2006/relationships/hyperlink" Target="https://www.google.ru/maps/place/41%C2%B014'10.9%22N+69%C2%B014'15.4%22E/@41.236355,69.237613,17z/data=!3m1!4b1!4m4!3m3!8m2!3d41.236355!4d69.237613?entry=ttu&amp;g_ep=EgoyMDI1MDUyMS4wIKXMDSoASAFQAw%3D%3D" TargetMode="External"/><Relationship Id="rId303" Type="http://schemas.openxmlformats.org/officeDocument/2006/relationships/hyperlink" Target="https://www.google.com/maps/search/41.237273,+69.193199?coh=245187&amp;entry=tts&amp;g_ep=EgoyMDI1MDMwNC4wIPu8ASoJLDEwMjExNDUzSAFQAw%3D%3D" TargetMode="External"/><Relationship Id="rId42" Type="http://schemas.openxmlformats.org/officeDocument/2006/relationships/hyperlink" Target="https://www.google.com/maps/search/41.315693,+69.190154?entry=tts&amp;g_ep=EgoyMDI1MDIwMi4wIPu8ASoASAFQAw%3D%3D" TargetMode="External"/><Relationship Id="rId84" Type="http://schemas.openxmlformats.org/officeDocument/2006/relationships/hyperlink" Target="https://www.google.by/maps/search/41.351040,+69.260517?coh=219680&amp;utm_campaign=tt-rcs&amp;entry=tts&amp;g_ep=EgoyMDI1MDEyOS4xIPu8ASoASAFQAw%3D%3D" TargetMode="External"/><Relationship Id="rId138" Type="http://schemas.openxmlformats.org/officeDocument/2006/relationships/hyperlink" Target="https://www.google.com/maps/search/41.304271,+69.205559?entry=tts&amp;g_ep=EgoyMDI1MDIwMi4wIPu8ASoJLDEwMjExMjM0SAFQAw%3D%3D" TargetMode="External"/><Relationship Id="rId191" Type="http://schemas.openxmlformats.org/officeDocument/2006/relationships/hyperlink" Target="https://www.google.com/maps/search/41.304583,+69.248403?entry=tts&amp;g_ep=EgoyMDI1MDIwMy4wIPu8ASoASAFQAw%3D%3D" TargetMode="External"/><Relationship Id="rId205" Type="http://schemas.openxmlformats.org/officeDocument/2006/relationships/hyperlink" Target="https://www.google.com/maps/search/41.243389,+69.328238?entry=tts&amp;g_ep=EgoyMDI1MDUxMy4xIPu8ASoASAFQAw%3D%3D&amp;skid=c951e551-4c23-4339-9563-75db756b08b9" TargetMode="External"/><Relationship Id="rId247" Type="http://schemas.openxmlformats.org/officeDocument/2006/relationships/hyperlink" Target="https://www.google.com/maps/place/41%C2%B015'00.3%22N+69%C2%B022'33.7%22E/@41.2500915,69.376019,608m/data=!3m1!1e3!4m4!3m3!8m2!3d41.25009!4d69.376019?entry=ttu&amp;g_ep=EgoyMDI1MDUyMS4wIKXMDSoASAFQAw%3D%3D" TargetMode="External"/><Relationship Id="rId107" Type="http://schemas.openxmlformats.org/officeDocument/2006/relationships/hyperlink" Target="https://www.google.com/maps/search/41.331235,+69.341074?entry=tts&amp;g_ep=EgoyMDI1MDQxNC4xIPu8ASoASAFQAw%3D%3D&amp;skid=1cef7011-11e8-4ac3-bb3d-6c64719be5b2" TargetMode="External"/><Relationship Id="rId289" Type="http://schemas.openxmlformats.org/officeDocument/2006/relationships/hyperlink" Target="https://maps.app.goo.gl/ZjutXwHAWV1yZoYeJ7" TargetMode="External"/><Relationship Id="rId11" Type="http://schemas.openxmlformats.org/officeDocument/2006/relationships/hyperlink" Target="https://maps.app.goo.gl/Kjnw2owHkWZj8Suk7" TargetMode="External"/><Relationship Id="rId53" Type="http://schemas.openxmlformats.org/officeDocument/2006/relationships/hyperlink" Target="https://www.google.com/maps/place/41%C2%B017'06.1%22N+69%C2%B011'21.9%22E/@41.285013,69.189423,759m/data=!3m2!1e3!4b1!4m4!3m3!8m2!3d41.285013!4d69.189423?entry=ttu&amp;g_ep=EgoyMDI1MDUyMS4wIKXMDSoASAFQAw%3D%3D" TargetMode="External"/><Relationship Id="rId149" Type="http://schemas.openxmlformats.org/officeDocument/2006/relationships/hyperlink" Target="https://www.google.com/maps/search/41.312985,+69.219430?entry=tts&amp;g_ep=EgoyMDI1MDUxMy4xIPu8ASoASAFQAw%3D%3D&amp;skid=df123345-a54e-472c-b216-829ef03a9bae" TargetMode="External"/><Relationship Id="rId314" Type="http://schemas.openxmlformats.org/officeDocument/2006/relationships/hyperlink" Target="https://www.google.com/maps/search/41.188946,+69.213393?coh=245187&amp;entry=tts&amp;g_ep=EgoyMDI1MDMwNC4wIPu8ASoJLDEwMjExNDUzSAFQAw%3D%3D" TargetMode="External"/><Relationship Id="rId95" Type="http://schemas.openxmlformats.org/officeDocument/2006/relationships/hyperlink" Target="https://www.google.com/maps/search/41.349813,+69.336488?entry=tts&amp;g_ep=EgoyMDI1MDUxMi4wIPu8ASoASAFQAw%3D%3D&amp;skid=03672725-218c-4f32-a298-fbfbb687d17b" TargetMode="External"/><Relationship Id="rId160" Type="http://schemas.openxmlformats.org/officeDocument/2006/relationships/hyperlink" Target="https://www.google.com/maps/search/41.333503,+69.169441?entry=tts&amp;g_ep=EgoyMDI1MDEyOS4xIPu8ASoASAFQAw%3D%3D" TargetMode="External"/><Relationship Id="rId216" Type="http://schemas.openxmlformats.org/officeDocument/2006/relationships/hyperlink" Target="https://www.google.com/maps/search/41.287152,+69.315392?entry=tts&amp;g_ep=EgoyMDI1MDIwMi4wIPu8ASoASAFQAw%3D%3D" TargetMode="External"/><Relationship Id="rId258" Type="http://schemas.openxmlformats.org/officeDocument/2006/relationships/hyperlink" Target="https://www.google.com/maps/place/41%C2%B014'19.0%22N+69%C2%B019'33.3%22E/@41.2386111,69.3259167,608m/data=!3m2!1e3!4b1!4m4!3m3!8m2!3d41.2386111!4d69.3259167?entry=ttu&amp;g_ep=EgoyMDI1MDUyMS4wIKXMDSoASAFQAw%3D%3D" TargetMode="External"/><Relationship Id="rId22" Type="http://schemas.openxmlformats.org/officeDocument/2006/relationships/hyperlink" Target="https://www.google.com/maps/search/41.274947,+69.243490?coh=245189&amp;entry=tts&amp;g_ep=EgoyMDI1MDIyMy4xIPu8ASoJLDEwMjExNDU1SAFQAw%3D%3D" TargetMode="External"/><Relationship Id="rId64" Type="http://schemas.openxmlformats.org/officeDocument/2006/relationships/hyperlink" Target="https://www.google.com/maps/search/41.335962,+69.213339?entry=tts&amp;g_ep=EgoyMDI1MDUxMy4xIPu8ASoASAFQAw%3D%3D&amp;skid=3f20e1c3-cefb-468a-8979-5bf255d83617" TargetMode="External"/><Relationship Id="rId118" Type="http://schemas.openxmlformats.org/officeDocument/2006/relationships/hyperlink" Target="https://www.google.com/maps/search/41.321904,+69.357099?entry=tts&amp;g_ep=EgoyMDI1MDMyNS4xIPu8ASoASAFQAw%3D%3D&amp;skid=e1d4a0df-f113-4d48-a344-c43e04eef738" TargetMode="External"/><Relationship Id="rId325" Type="http://schemas.openxmlformats.org/officeDocument/2006/relationships/hyperlink" Target="https://www.google.com/maps/search/41.192373,+69.279758?coh=245187&amp;entry=tts&amp;g_ep=EgoyMDI1MDMwNC4wIPu8ASoJLDEwMjExNDUzSAFQAw%3D%3D" TargetMode="External"/><Relationship Id="rId171" Type="http://schemas.openxmlformats.org/officeDocument/2006/relationships/hyperlink" Target="https://www.google.com/maps/search/41.248875,+69.173046?entry=tts&amp;g_ep=EgoyMDI1MDIwMy4wIPu8ASoASAFQAw%3D%3D" TargetMode="External"/><Relationship Id="rId227" Type="http://schemas.openxmlformats.org/officeDocument/2006/relationships/hyperlink" Target="https://www.google.com/maps/search/41.292127,+69.371629?entry=tts&amp;g_ep=EgoyMDI1MDEyOS4xIPu8ASoASAFQAw%3D%3D" TargetMode="External"/><Relationship Id="rId269" Type="http://schemas.openxmlformats.org/officeDocument/2006/relationships/hyperlink" Target="https://www.google.ru/maps/place/41%C2%B014'43.1%22N+69%C2%B013'51.3%22E/@41.245302,69.230911,17z/data=!3m1!4b1!4m4!3m3!8m2!3d41.245302!4d69.230911?entry=ttu&amp;g_ep=EgoyMDI1MDUyMS4wIKXMDSoASAFQAw%3D%3D" TargetMode="External"/><Relationship Id="rId33" Type="http://schemas.openxmlformats.org/officeDocument/2006/relationships/hyperlink" Target="https://www.google.com/maps/search/41.269577,+69.127238?entry=tts&amp;g_ep=EgoyMDI1MDIwMi4wIPu8ASoASAFQAw%3D%3D" TargetMode="External"/><Relationship Id="rId129" Type="http://schemas.openxmlformats.org/officeDocument/2006/relationships/hyperlink" Target="https://www.google.com/maps/search/41.320434,+69.327675?entry=tts&amp;g_ep=EgoyMDI1MDMyNS4xIPu8ASoASAFQAw%3D%3D&amp;skid=d409cfed-07c0-43b0-927f-6672829675aa" TargetMode="External"/><Relationship Id="rId280" Type="http://schemas.openxmlformats.org/officeDocument/2006/relationships/hyperlink" Target="https://www.google.ru/maps/place/41%C2%B014'07.3%22N+69%C2%B012'08.2%22E/@41.235361,69.20228,17z/data=!3m1!4b1!4m4!3m3!8m2!3d41.235361!4d69.20228?entry=ttu&amp;g_ep=EgoyMDI1MDUyMS4wIKXMDSoASAFQAw%3D%3D" TargetMode="External"/><Relationship Id="rId75" Type="http://schemas.openxmlformats.org/officeDocument/2006/relationships/hyperlink" Target="https://www.google.com/maps/search/41.353978,+69.232589?entry=tts&amp;g_ep=EgoyMDI1MDMwNC4wIPu8ASoASAFQAw%3D%3D" TargetMode="External"/><Relationship Id="rId140" Type="http://schemas.openxmlformats.org/officeDocument/2006/relationships/hyperlink" Target="https://www.google.com/maps/search/41.328409,+69.263004?entry=tts&amp;g_ep=EgoyMDI1MDIwMi4wIPu8ASoJLDEwMjExMjM0SAFQAw%3D%3D" TargetMode="External"/><Relationship Id="rId182" Type="http://schemas.openxmlformats.org/officeDocument/2006/relationships/hyperlink" Target="https://www.google.com/maps/search/41.271880,+69.212744?entry=tts&amp;g_ep=EgoyMDI1MDIwMy4wIPu8ASoASAFQAw%3D%3D" TargetMode="External"/><Relationship Id="rId6" Type="http://schemas.openxmlformats.org/officeDocument/2006/relationships/hyperlink" Target="https://www.google.com/maps/search/41.230846,+69.207945?entry=tts&amp;g_ep=EgoyMDI1MDUxNS4xIPu8ASoASAFQAw%3D%3D&amp;skid=0c1ac33c-5473-471a-87e6-f6c9ea901011" TargetMode="External"/><Relationship Id="rId238" Type="http://schemas.openxmlformats.org/officeDocument/2006/relationships/hyperlink" Target="https://www.google.com/maps/search/41.285354,+69.360957?entry=tts&amp;g_ep=EgoyMDI1MDIwOS4wIPu8ASoASAFQAw%3D%3D" TargetMode="External"/><Relationship Id="rId291" Type="http://schemas.openxmlformats.org/officeDocument/2006/relationships/hyperlink" Target="https://www.google.com/maps/place/41%C2%B014'22.0%22N+69%C2%B011'46.6%22E/@41.239452,69.196286,608m/data=!3m2!1e3!4b1!4m4!3m3!8m2!3d41.239452!4d69.196286?entry=ttu&amp;g_ep=EgoyMDI1MDUyMS4wIKXMDSoASAFQAw%3D%3D" TargetMode="External"/><Relationship Id="rId305" Type="http://schemas.openxmlformats.org/officeDocument/2006/relationships/hyperlink" Target="https://www.google.com/maps/search/41.221574,+69.191693?coh=245187&amp;entry=tts&amp;g_ep=EgoyMDI1MDMwNC4wIPu8ASoJLDEwMjExNDUzSAFQAw%3D%3D" TargetMode="External"/><Relationship Id="rId44" Type="http://schemas.openxmlformats.org/officeDocument/2006/relationships/hyperlink" Target="https://www.google.com/maps/search/41.312608,+69.185575?entry=tts&amp;g_ep=EgoyMDI1MDIwMi4wIPu8ASoASAFQAw%3D%3D" TargetMode="External"/><Relationship Id="rId86" Type="http://schemas.openxmlformats.org/officeDocument/2006/relationships/hyperlink" Target="https://www.google.by/maps/search/41.344331,+69.243589?coh=219680&amp;utm_campaign=tt-rcs&amp;entry=tts&amp;g_ep=EgoyMDI1MDEyOS4xIPu8ASoASAFQAw%3D%3D" TargetMode="External"/><Relationship Id="rId151" Type="http://schemas.openxmlformats.org/officeDocument/2006/relationships/hyperlink" Target="https://www.google.com/maps/search/41.329600,+69.201249?entry=tts&amp;g_ep=EgoyMDI1MDIwMi4wIPu8ASoASAFQAw%3D%3D" TargetMode="External"/><Relationship Id="rId193" Type="http://schemas.openxmlformats.org/officeDocument/2006/relationships/hyperlink" Target="https://www.google.com/maps/search/41.299505,+69.237124?entry=tts&amp;g_ep=EgoyMDI1MDIwMy4wIPu8ASoASAFQAw%3D%3D" TargetMode="External"/><Relationship Id="rId207" Type="http://schemas.openxmlformats.org/officeDocument/2006/relationships/hyperlink" Target="https://www.google.com/maps/search/41.255491,+69.321635?entry=tts&amp;g_ep=EgoyMDI1MDUxMy4xIPu8ASoASAFQAw%3D%3D&amp;skid=4ab48613-1a39-4170-945b-8f1c667a13ad" TargetMode="External"/><Relationship Id="rId249" Type="http://schemas.openxmlformats.org/officeDocument/2006/relationships/hyperlink" Target="https://www.google.com/maps/place/41%C2%B012'41.4%22N+69%C2%B020'29.8%22E/@41.211511,69.341615,608m/data=!3m2!1e3!4b1!4m4!3m3!8m2!3d41.211511!4d69.341615?entry=ttu&amp;g_ep=EgoyMDI1MDUyMS4wIKXMDSoASAFQAw%3D%3D" TargetMode="External"/><Relationship Id="rId13" Type="http://schemas.openxmlformats.org/officeDocument/2006/relationships/hyperlink" Target="https://www.google.com/maps/search/41.270228,+69.243871?entry=tts&amp;g_ep=EgoyMDI1MDEyOS4xIPu8ASoASAFQAw%3D%3D" TargetMode="External"/><Relationship Id="rId109" Type="http://schemas.openxmlformats.org/officeDocument/2006/relationships/hyperlink" Target="https://www.google.com/maps/search/41.334533,+69.344005?entry=tts&amp;g_ep=EgoyMDI1MDQxNC4xIPu8ASoASAFQAw%3D%3D&amp;skid=b02be923-6a62-439c-be75-9230f45bdc0c" TargetMode="External"/><Relationship Id="rId260" Type="http://schemas.openxmlformats.org/officeDocument/2006/relationships/hyperlink" Target="https://www.google.com/maps/place/41%C2%B014'33.5%22N+69%C2%B021'52.8%22E/@41.242647,69.364675,608m/data=!3m2!1e3!4b1!4m4!3m3!8m2!3d41.242647!4d69.364675?entry=ttu&amp;g_ep=EgoyMDI1MDUyMS4wIKXMDSoASAFQAw%3D%3D" TargetMode="External"/><Relationship Id="rId316" Type="http://schemas.openxmlformats.org/officeDocument/2006/relationships/hyperlink" Target="https://www.google.com/maps/search/41.182327,+69.233502?coh=245187&amp;entry=tts&amp;g_ep=EgoyMDI1MDMwNC4wIPu8ASoJLDEwMjExNDUzSAFQAw%3D%3D" TargetMode="External"/><Relationship Id="rId55" Type="http://schemas.openxmlformats.org/officeDocument/2006/relationships/hyperlink" Target="https://www.google.com/maps/search/41.284651,+69.175956?entry=tts&amp;g_ep=EgoyMDI1MDIwMi4wIPu8ASoASAFQAw%3D%3D" TargetMode="External"/><Relationship Id="rId97" Type="http://schemas.openxmlformats.org/officeDocument/2006/relationships/hyperlink" Target="https://www.google.com/maps/search/41.335705,+69.304592?entry=tts&amp;g_ep=EgoyMDI1MDUxMi4wIPu8ASoASAFQAw%3D%3D&amp;skid=30a521c9-7bba-4be0-9425-c9128a36d982" TargetMode="External"/><Relationship Id="rId120" Type="http://schemas.openxmlformats.org/officeDocument/2006/relationships/hyperlink" Target="https://www.google.com/maps/search/41.314867,+69.336533?entry=tts&amp;g_ep=EgoyMDI1MDMyNS4xIPu8ASoASAFQAw%3D%3D&amp;skid=dddb82d7-32d1-4d17-87fd-0109080b0c37" TargetMode="External"/><Relationship Id="rId162" Type="http://schemas.openxmlformats.org/officeDocument/2006/relationships/hyperlink" Target="https://www.google.com/maps/search/41.341507,+69.168893?entry=tts&amp;g_ep=EgoyMDI1MDEyOS4xIPu8ASoASAFQAw%3D%3D" TargetMode="External"/><Relationship Id="rId218" Type="http://schemas.openxmlformats.org/officeDocument/2006/relationships/hyperlink" Target="https://www.google.com/maps/search/41.296421,+69.335005?coh=245189&amp;entry=tts&amp;g_ep=EgoyMDI1MDIxNy4wIPu8ASoJLDEwMjExNDU1SAFQAw%3D%3D" TargetMode="External"/><Relationship Id="rId271" Type="http://schemas.openxmlformats.org/officeDocument/2006/relationships/hyperlink" Target="https://www.google.ru/maps/place/41%C2%B014'04.2%22N+69%C2%B017'52.8%22E/@41.234506,69.297993,17z/data=!3m1!4b1!4m4!3m3!8m2!3d41.234506!4d69.297993?entry=ttu&amp;g_ep=EgoyMDI1MDUyMS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W432"/>
  <sheetViews>
    <sheetView tabSelected="1" topLeftCell="G57" zoomScale="60" workbookViewId="0">
      <selection activeCell="I91" sqref="I91"/>
    </sheetView>
  </sheetViews>
  <sheetFormatPr defaultRowHeight="14.5" x14ac:dyDescent="0.35"/>
  <cols>
    <col min="1" max="1" width="4.1796875" style="84" bestFit="1" customWidth="1"/>
    <col min="2" max="2" width="18.453125" style="85" bestFit="1" customWidth="1"/>
    <col min="3" max="3" width="52.7265625" style="85" bestFit="1" customWidth="1"/>
    <col min="4" max="4" width="51.453125" style="85" bestFit="1" customWidth="1"/>
    <col min="5" max="5" width="31.7265625" style="85" bestFit="1" customWidth="1"/>
    <col min="6" max="6" width="106.81640625" style="85" bestFit="1" customWidth="1"/>
    <col min="7" max="7" width="41.1796875" style="85" bestFit="1" customWidth="1"/>
    <col min="8" max="8" width="10.6328125" style="86" bestFit="1" customWidth="1"/>
    <col min="9" max="9" width="228.7265625" style="85" bestFit="1" customWidth="1"/>
    <col min="10" max="10" width="41.1796875" style="85" bestFit="1" customWidth="1"/>
    <col min="11" max="11" width="20.1796875" style="85" bestFit="1" customWidth="1"/>
    <col min="12" max="12" width="18" style="87" bestFit="1" customWidth="1"/>
    <col min="13" max="13" width="21.7265625" style="88" bestFit="1" customWidth="1"/>
    <col min="14" max="14" width="25.81640625" style="88" bestFit="1" customWidth="1"/>
    <col min="15" max="15" width="32.1796875" style="88" bestFit="1" customWidth="1"/>
    <col min="16" max="16" width="21.7265625" style="88" bestFit="1" customWidth="1"/>
    <col min="17" max="17" width="25" style="88" bestFit="1" customWidth="1"/>
    <col min="18" max="18" width="19" style="88" bestFit="1" customWidth="1"/>
    <col min="19" max="19" width="22.453125" style="89" bestFit="1" customWidth="1"/>
    <col min="20" max="20" width="26.1796875" style="89" bestFit="1" customWidth="1"/>
    <col min="21" max="21" width="21.453125" style="89" bestFit="1" customWidth="1"/>
    <col min="22" max="22" width="49.1796875" style="90" bestFit="1" customWidth="1"/>
    <col min="23" max="23" width="33.1796875" style="89" bestFit="1" customWidth="1"/>
  </cols>
  <sheetData>
    <row r="1" spans="1:23" s="1" customFormat="1" ht="64.5" customHeight="1" x14ac:dyDescent="0.35">
      <c r="A1" s="2" t="s">
        <v>0</v>
      </c>
      <c r="B1" s="3" t="s">
        <v>1</v>
      </c>
      <c r="C1" s="3" t="s">
        <v>2</v>
      </c>
      <c r="D1" s="4" t="s">
        <v>3</v>
      </c>
      <c r="E1" s="5" t="s">
        <v>4</v>
      </c>
      <c r="F1" s="6" t="s">
        <v>5</v>
      </c>
      <c r="G1" s="6" t="s">
        <v>6</v>
      </c>
      <c r="H1" s="7" t="s">
        <v>7</v>
      </c>
      <c r="I1" s="6" t="s">
        <v>8</v>
      </c>
      <c r="J1" s="6" t="s">
        <v>9</v>
      </c>
      <c r="K1" s="8" t="s">
        <v>10</v>
      </c>
      <c r="L1" s="9" t="s">
        <v>11</v>
      </c>
      <c r="M1" s="10" t="s">
        <v>12</v>
      </c>
      <c r="N1" s="11" t="s">
        <v>13</v>
      </c>
      <c r="O1" s="11" t="s">
        <v>14</v>
      </c>
      <c r="P1" s="11" t="s">
        <v>15</v>
      </c>
      <c r="Q1" s="11" t="s">
        <v>16</v>
      </c>
      <c r="R1" s="12" t="s">
        <v>17</v>
      </c>
      <c r="S1" s="13"/>
      <c r="T1" s="13"/>
      <c r="U1" s="13"/>
      <c r="V1" s="13"/>
      <c r="W1" s="13"/>
    </row>
    <row r="2" spans="1:23" s="89" customFormat="1" ht="35.25" customHeight="1" x14ac:dyDescent="0.35">
      <c r="A2" s="14">
        <v>1</v>
      </c>
      <c r="B2" s="15" t="s">
        <v>18</v>
      </c>
      <c r="C2" s="15" t="s">
        <v>19</v>
      </c>
      <c r="D2" s="15" t="s">
        <v>20</v>
      </c>
      <c r="E2" s="15" t="s">
        <v>21</v>
      </c>
      <c r="F2" s="15" t="s">
        <v>22</v>
      </c>
      <c r="G2" s="15" t="s">
        <v>23</v>
      </c>
      <c r="H2" s="16">
        <v>5.9939999999999998</v>
      </c>
      <c r="I2" s="91" t="s">
        <v>1381</v>
      </c>
      <c r="J2" s="15" t="s">
        <v>24</v>
      </c>
      <c r="K2" s="15" t="s">
        <v>25</v>
      </c>
      <c r="L2" s="17">
        <v>10</v>
      </c>
      <c r="M2" s="18">
        <f t="shared" ref="M2:M20" si="0">H2*10000*0.25</f>
        <v>14985</v>
      </c>
      <c r="N2" s="18">
        <f t="shared" ref="N2:N57" si="1">M2*L2</f>
        <v>149850</v>
      </c>
      <c r="O2" s="18">
        <f>M2*2</f>
        <v>29970</v>
      </c>
      <c r="P2" s="18">
        <f>M2*8*0.8</f>
        <v>95904</v>
      </c>
      <c r="Q2" s="18">
        <f t="shared" ref="Q2:Q35" si="2">P2/65</f>
        <v>1475.4461538461539</v>
      </c>
      <c r="R2" s="18">
        <f t="shared" ref="R2:R46" si="3">Q2*4</f>
        <v>5901.7846153846158</v>
      </c>
    </row>
    <row r="3" spans="1:23" s="89" customFormat="1" ht="34.5" customHeight="1" x14ac:dyDescent="0.35">
      <c r="A3" s="14">
        <v>2</v>
      </c>
      <c r="B3" s="15" t="s">
        <v>18</v>
      </c>
      <c r="C3" s="15" t="s">
        <v>26</v>
      </c>
      <c r="D3" s="15" t="s">
        <v>20</v>
      </c>
      <c r="E3" s="15" t="s">
        <v>27</v>
      </c>
      <c r="F3" s="15" t="s">
        <v>28</v>
      </c>
      <c r="G3" s="15" t="s">
        <v>29</v>
      </c>
      <c r="H3" s="16">
        <v>0.04</v>
      </c>
      <c r="I3" s="91" t="s">
        <v>1382</v>
      </c>
      <c r="J3" s="15" t="s">
        <v>30</v>
      </c>
      <c r="K3" s="15" t="s">
        <v>25</v>
      </c>
      <c r="L3" s="17">
        <v>3</v>
      </c>
      <c r="M3" s="18">
        <f t="shared" si="0"/>
        <v>100</v>
      </c>
      <c r="N3" s="18">
        <f t="shared" si="1"/>
        <v>300</v>
      </c>
      <c r="O3" s="18">
        <f>M3*L3</f>
        <v>300</v>
      </c>
      <c r="P3" s="18">
        <f>M3*10*0.8</f>
        <v>800</v>
      </c>
      <c r="Q3" s="18">
        <f t="shared" si="2"/>
        <v>12.307692307692308</v>
      </c>
      <c r="R3" s="18">
        <f t="shared" si="3"/>
        <v>49.230769230769234</v>
      </c>
    </row>
    <row r="4" spans="1:23" s="89" customFormat="1" ht="34.5" customHeight="1" x14ac:dyDescent="0.35">
      <c r="A4" s="14">
        <v>3</v>
      </c>
      <c r="B4" s="15" t="s">
        <v>18</v>
      </c>
      <c r="C4" s="15" t="s">
        <v>31</v>
      </c>
      <c r="D4" s="15" t="s">
        <v>32</v>
      </c>
      <c r="E4" s="15" t="s">
        <v>33</v>
      </c>
      <c r="F4" s="15" t="s">
        <v>34</v>
      </c>
      <c r="G4" s="15" t="s">
        <v>23</v>
      </c>
      <c r="H4" s="16">
        <v>6.6</v>
      </c>
      <c r="I4" s="91" t="s">
        <v>1383</v>
      </c>
      <c r="J4" s="15" t="s">
        <v>30</v>
      </c>
      <c r="K4" s="15" t="s">
        <v>35</v>
      </c>
      <c r="L4" s="17">
        <v>9</v>
      </c>
      <c r="M4" s="18">
        <f t="shared" si="0"/>
        <v>16500</v>
      </c>
      <c r="N4" s="18">
        <f t="shared" si="1"/>
        <v>148500</v>
      </c>
      <c r="O4" s="18">
        <f>M4*2</f>
        <v>33000</v>
      </c>
      <c r="P4" s="18">
        <f>M4*7*0.8</f>
        <v>92400</v>
      </c>
      <c r="Q4" s="18">
        <f t="shared" si="2"/>
        <v>1421.5384615384614</v>
      </c>
      <c r="R4" s="18">
        <f t="shared" si="3"/>
        <v>5686.1538461538457</v>
      </c>
    </row>
    <row r="5" spans="1:23" s="89" customFormat="1" ht="34.5" customHeight="1" x14ac:dyDescent="0.35">
      <c r="A5" s="14">
        <v>4</v>
      </c>
      <c r="B5" s="15" t="s">
        <v>18</v>
      </c>
      <c r="C5" s="15" t="s">
        <v>36</v>
      </c>
      <c r="D5" s="15" t="s">
        <v>37</v>
      </c>
      <c r="E5" s="15" t="s">
        <v>21</v>
      </c>
      <c r="F5" s="15" t="s">
        <v>38</v>
      </c>
      <c r="G5" s="15" t="s">
        <v>23</v>
      </c>
      <c r="H5" s="16">
        <v>1.1000000000000001</v>
      </c>
      <c r="I5" s="91" t="s">
        <v>1384</v>
      </c>
      <c r="J5" s="15" t="s">
        <v>30</v>
      </c>
      <c r="K5" s="15" t="s">
        <v>25</v>
      </c>
      <c r="L5" s="17">
        <v>13</v>
      </c>
      <c r="M5" s="18">
        <f t="shared" si="0"/>
        <v>2750</v>
      </c>
      <c r="N5" s="18">
        <f t="shared" si="1"/>
        <v>35750</v>
      </c>
      <c r="O5" s="18">
        <f>M5*3</f>
        <v>8250</v>
      </c>
      <c r="P5" s="18">
        <f>M5*10*0.8</f>
        <v>22000</v>
      </c>
      <c r="Q5" s="18">
        <f t="shared" si="2"/>
        <v>338.46153846153845</v>
      </c>
      <c r="R5" s="18">
        <f t="shared" si="3"/>
        <v>1353.8461538461538</v>
      </c>
    </row>
    <row r="6" spans="1:23" s="89" customFormat="1" ht="34.5" customHeight="1" x14ac:dyDescent="0.35">
      <c r="A6" s="14">
        <v>5</v>
      </c>
      <c r="B6" s="15" t="s">
        <v>18</v>
      </c>
      <c r="C6" s="15" t="s">
        <v>39</v>
      </c>
      <c r="D6" s="15" t="s">
        <v>40</v>
      </c>
      <c r="E6" s="15" t="s">
        <v>41</v>
      </c>
      <c r="F6" s="15" t="s">
        <v>42</v>
      </c>
      <c r="G6" s="15" t="s">
        <v>23</v>
      </c>
      <c r="H6" s="19">
        <v>150</v>
      </c>
      <c r="I6" s="91" t="s">
        <v>1385</v>
      </c>
      <c r="J6" s="15" t="s">
        <v>24</v>
      </c>
      <c r="K6" s="15" t="s">
        <v>35</v>
      </c>
      <c r="L6" s="17">
        <v>8</v>
      </c>
      <c r="M6" s="18">
        <f t="shared" si="0"/>
        <v>375000</v>
      </c>
      <c r="N6" s="18">
        <f t="shared" si="1"/>
        <v>3000000</v>
      </c>
      <c r="O6" s="18">
        <f>M6*3</f>
        <v>1125000</v>
      </c>
      <c r="P6" s="18">
        <f>M6*8*0.8</f>
        <v>2400000</v>
      </c>
      <c r="Q6" s="18">
        <f t="shared" si="2"/>
        <v>36923.076923076922</v>
      </c>
      <c r="R6" s="18">
        <f t="shared" si="3"/>
        <v>147692.30769230769</v>
      </c>
    </row>
    <row r="7" spans="1:23" s="89" customFormat="1" ht="34.5" customHeight="1" x14ac:dyDescent="0.35">
      <c r="A7" s="14">
        <v>6</v>
      </c>
      <c r="B7" s="15" t="s">
        <v>18</v>
      </c>
      <c r="C7" s="15" t="s">
        <v>43</v>
      </c>
      <c r="D7" s="15" t="s">
        <v>44</v>
      </c>
      <c r="E7" s="15" t="s">
        <v>45</v>
      </c>
      <c r="F7" s="15" t="s">
        <v>46</v>
      </c>
      <c r="G7" s="15" t="s">
        <v>23</v>
      </c>
      <c r="H7" s="19">
        <v>48</v>
      </c>
      <c r="I7" s="91" t="s">
        <v>1386</v>
      </c>
      <c r="J7" s="15" t="s">
        <v>24</v>
      </c>
      <c r="K7" s="15" t="s">
        <v>35</v>
      </c>
      <c r="L7" s="17">
        <v>10</v>
      </c>
      <c r="M7" s="18">
        <f t="shared" si="0"/>
        <v>120000</v>
      </c>
      <c r="N7" s="18">
        <f t="shared" si="1"/>
        <v>1200000</v>
      </c>
      <c r="O7" s="18">
        <f>M7*3</f>
        <v>360000</v>
      </c>
      <c r="P7" s="18">
        <f>M7*8*0.8</f>
        <v>768000</v>
      </c>
      <c r="Q7" s="18">
        <f t="shared" si="2"/>
        <v>11815.384615384615</v>
      </c>
      <c r="R7" s="18">
        <f t="shared" si="3"/>
        <v>47261.538461538461</v>
      </c>
    </row>
    <row r="8" spans="1:23" s="89" customFormat="1" ht="34.5" customHeight="1" x14ac:dyDescent="0.35">
      <c r="A8" s="14">
        <v>7</v>
      </c>
      <c r="B8" s="15" t="s">
        <v>18</v>
      </c>
      <c r="C8" s="20" t="s">
        <v>47</v>
      </c>
      <c r="D8" s="15" t="s">
        <v>48</v>
      </c>
      <c r="E8" s="15" t="s">
        <v>49</v>
      </c>
      <c r="F8" s="15" t="s">
        <v>50</v>
      </c>
      <c r="G8" s="15" t="s">
        <v>23</v>
      </c>
      <c r="H8" s="16">
        <v>10.5</v>
      </c>
      <c r="I8" s="91" t="s">
        <v>1387</v>
      </c>
      <c r="J8" s="15" t="s">
        <v>30</v>
      </c>
      <c r="K8" s="15" t="s">
        <v>51</v>
      </c>
      <c r="L8" s="17">
        <v>8</v>
      </c>
      <c r="M8" s="18">
        <f t="shared" si="0"/>
        <v>26250</v>
      </c>
      <c r="N8" s="18">
        <f t="shared" si="1"/>
        <v>210000</v>
      </c>
      <c r="O8" s="18">
        <f>M8*2</f>
        <v>52500</v>
      </c>
      <c r="P8" s="18">
        <f>M8*8*0.8</f>
        <v>168000</v>
      </c>
      <c r="Q8" s="18">
        <f t="shared" si="2"/>
        <v>2584.6153846153848</v>
      </c>
      <c r="R8" s="18">
        <f t="shared" si="3"/>
        <v>10338.461538461539</v>
      </c>
    </row>
    <row r="9" spans="1:23" s="89" customFormat="1" ht="34.5" customHeight="1" x14ac:dyDescent="0.35">
      <c r="A9" s="14">
        <v>8</v>
      </c>
      <c r="B9" s="15" t="s">
        <v>18</v>
      </c>
      <c r="C9" s="15" t="s">
        <v>52</v>
      </c>
      <c r="D9" s="15" t="s">
        <v>53</v>
      </c>
      <c r="E9" s="15" t="s">
        <v>49</v>
      </c>
      <c r="F9" s="15" t="s">
        <v>50</v>
      </c>
      <c r="G9" s="15" t="s">
        <v>23</v>
      </c>
      <c r="H9" s="16">
        <v>1.3</v>
      </c>
      <c r="I9" s="91" t="s">
        <v>1388</v>
      </c>
      <c r="J9" s="15" t="s">
        <v>30</v>
      </c>
      <c r="K9" s="15" t="s">
        <v>51</v>
      </c>
      <c r="L9" s="17">
        <v>10</v>
      </c>
      <c r="M9" s="18">
        <f t="shared" si="0"/>
        <v>3250</v>
      </c>
      <c r="N9" s="18">
        <f t="shared" si="1"/>
        <v>32500</v>
      </c>
      <c r="O9" s="18">
        <f>M9*2</f>
        <v>6500</v>
      </c>
      <c r="P9" s="18">
        <f>M9*8*0.8</f>
        <v>20800</v>
      </c>
      <c r="Q9" s="18">
        <f t="shared" si="2"/>
        <v>320</v>
      </c>
      <c r="R9" s="18">
        <f t="shared" si="3"/>
        <v>1280</v>
      </c>
    </row>
    <row r="10" spans="1:23" s="89" customFormat="1" ht="34.5" customHeight="1" x14ac:dyDescent="0.35">
      <c r="A10" s="14">
        <v>9</v>
      </c>
      <c r="B10" s="15" t="s">
        <v>18</v>
      </c>
      <c r="C10" s="15" t="s">
        <v>54</v>
      </c>
      <c r="D10" s="15" t="s">
        <v>55</v>
      </c>
      <c r="E10" s="15" t="s">
        <v>49</v>
      </c>
      <c r="F10" s="15" t="s">
        <v>50</v>
      </c>
      <c r="G10" s="15" t="s">
        <v>23</v>
      </c>
      <c r="H10" s="16">
        <v>14.5</v>
      </c>
      <c r="I10" s="91" t="s">
        <v>1389</v>
      </c>
      <c r="J10" s="15" t="s">
        <v>30</v>
      </c>
      <c r="K10" s="15" t="s">
        <v>51</v>
      </c>
      <c r="L10" s="17">
        <v>8</v>
      </c>
      <c r="M10" s="18">
        <f t="shared" si="0"/>
        <v>36250</v>
      </c>
      <c r="N10" s="18">
        <f t="shared" si="1"/>
        <v>290000</v>
      </c>
      <c r="O10" s="18">
        <f>M10*3</f>
        <v>108750</v>
      </c>
      <c r="P10" s="18">
        <f>M10*6*0.8</f>
        <v>174000</v>
      </c>
      <c r="Q10" s="18">
        <f t="shared" si="2"/>
        <v>2676.9230769230771</v>
      </c>
      <c r="R10" s="18">
        <f t="shared" si="3"/>
        <v>10707.692307692309</v>
      </c>
    </row>
    <row r="11" spans="1:23" s="89" customFormat="1" ht="34.5" customHeight="1" x14ac:dyDescent="0.35">
      <c r="A11" s="14">
        <v>10</v>
      </c>
      <c r="B11" s="15" t="s">
        <v>18</v>
      </c>
      <c r="C11" s="15" t="s">
        <v>56</v>
      </c>
      <c r="D11" s="15" t="s">
        <v>55</v>
      </c>
      <c r="E11" s="15" t="s">
        <v>57</v>
      </c>
      <c r="F11" s="15" t="s">
        <v>50</v>
      </c>
      <c r="G11" s="15" t="s">
        <v>23</v>
      </c>
      <c r="H11" s="19">
        <v>43</v>
      </c>
      <c r="I11" s="91" t="s">
        <v>1390</v>
      </c>
      <c r="J11" s="15" t="s">
        <v>30</v>
      </c>
      <c r="K11" s="15" t="s">
        <v>51</v>
      </c>
      <c r="L11" s="17">
        <v>8</v>
      </c>
      <c r="M11" s="18">
        <f t="shared" si="0"/>
        <v>107500</v>
      </c>
      <c r="N11" s="18">
        <f t="shared" si="1"/>
        <v>860000</v>
      </c>
      <c r="O11" s="18">
        <f>M11*3</f>
        <v>322500</v>
      </c>
      <c r="P11" s="18">
        <f>M11*6*0.8</f>
        <v>516000</v>
      </c>
      <c r="Q11" s="18">
        <f t="shared" si="2"/>
        <v>7938.4615384615381</v>
      </c>
      <c r="R11" s="18">
        <f t="shared" si="3"/>
        <v>31753.846153846152</v>
      </c>
    </row>
    <row r="12" spans="1:23" s="89" customFormat="1" ht="34.5" customHeight="1" x14ac:dyDescent="0.35">
      <c r="A12" s="14">
        <v>11</v>
      </c>
      <c r="B12" s="15" t="s">
        <v>18</v>
      </c>
      <c r="C12" s="15" t="s">
        <v>58</v>
      </c>
      <c r="D12" s="15" t="s">
        <v>55</v>
      </c>
      <c r="E12" s="20" t="s">
        <v>57</v>
      </c>
      <c r="F12" s="15" t="s">
        <v>50</v>
      </c>
      <c r="G12" s="15" t="s">
        <v>23</v>
      </c>
      <c r="H12" s="16">
        <v>3.1</v>
      </c>
      <c r="I12" s="91" t="s">
        <v>1391</v>
      </c>
      <c r="J12" s="15" t="s">
        <v>30</v>
      </c>
      <c r="K12" s="15" t="s">
        <v>51</v>
      </c>
      <c r="L12" s="17">
        <v>12</v>
      </c>
      <c r="M12" s="21">
        <f t="shared" si="0"/>
        <v>7750</v>
      </c>
      <c r="N12" s="21">
        <f t="shared" si="1"/>
        <v>93000</v>
      </c>
      <c r="O12" s="21">
        <f>M12*2</f>
        <v>15500</v>
      </c>
      <c r="P12" s="21">
        <f>M12*10*0.8</f>
        <v>62000</v>
      </c>
      <c r="Q12" s="21">
        <f t="shared" si="2"/>
        <v>953.84615384615381</v>
      </c>
      <c r="R12" s="21">
        <f t="shared" si="3"/>
        <v>3815.3846153846152</v>
      </c>
    </row>
    <row r="13" spans="1:23" s="89" customFormat="1" ht="34.5" customHeight="1" x14ac:dyDescent="0.35">
      <c r="A13" s="14">
        <v>12</v>
      </c>
      <c r="B13" s="15" t="s">
        <v>18</v>
      </c>
      <c r="C13" s="15" t="s">
        <v>59</v>
      </c>
      <c r="D13" s="15" t="s">
        <v>55</v>
      </c>
      <c r="E13" s="20" t="s">
        <v>60</v>
      </c>
      <c r="F13" s="15" t="s">
        <v>50</v>
      </c>
      <c r="G13" s="15" t="s">
        <v>23</v>
      </c>
      <c r="H13" s="16">
        <v>1.7</v>
      </c>
      <c r="I13" s="91" t="s">
        <v>1392</v>
      </c>
      <c r="J13" s="15" t="s">
        <v>30</v>
      </c>
      <c r="K13" s="15" t="s">
        <v>51</v>
      </c>
      <c r="L13" s="17">
        <v>8</v>
      </c>
      <c r="M13" s="21">
        <f t="shared" si="0"/>
        <v>4250</v>
      </c>
      <c r="N13" s="21">
        <f t="shared" si="1"/>
        <v>34000</v>
      </c>
      <c r="O13" s="21">
        <f>M13*2</f>
        <v>8500</v>
      </c>
      <c r="P13" s="21">
        <f>M13*6*0.8</f>
        <v>20400</v>
      </c>
      <c r="Q13" s="21">
        <f t="shared" si="2"/>
        <v>313.84615384615387</v>
      </c>
      <c r="R13" s="21">
        <f t="shared" si="3"/>
        <v>1255.3846153846155</v>
      </c>
    </row>
    <row r="14" spans="1:23" s="89" customFormat="1" ht="34.5" customHeight="1" x14ac:dyDescent="0.35">
      <c r="A14" s="14">
        <v>13</v>
      </c>
      <c r="B14" s="15" t="s">
        <v>18</v>
      </c>
      <c r="C14" s="20" t="s">
        <v>61</v>
      </c>
      <c r="D14" s="15" t="s">
        <v>62</v>
      </c>
      <c r="E14" s="20" t="s">
        <v>57</v>
      </c>
      <c r="F14" s="15" t="s">
        <v>50</v>
      </c>
      <c r="G14" s="15" t="s">
        <v>23</v>
      </c>
      <c r="H14" s="14">
        <v>15</v>
      </c>
      <c r="I14" s="91" t="s">
        <v>1393</v>
      </c>
      <c r="J14" s="15" t="s">
        <v>30</v>
      </c>
      <c r="K14" s="15" t="s">
        <v>51</v>
      </c>
      <c r="L14" s="17">
        <v>8</v>
      </c>
      <c r="M14" s="18">
        <f t="shared" si="0"/>
        <v>37500</v>
      </c>
      <c r="N14" s="18">
        <f t="shared" si="1"/>
        <v>300000</v>
      </c>
      <c r="O14" s="18">
        <f>M14*3</f>
        <v>112500</v>
      </c>
      <c r="P14" s="18">
        <f>M14*10*0.8</f>
        <v>300000</v>
      </c>
      <c r="Q14" s="18">
        <f t="shared" si="2"/>
        <v>4615.3846153846152</v>
      </c>
      <c r="R14" s="18">
        <f t="shared" si="3"/>
        <v>18461.538461538461</v>
      </c>
    </row>
    <row r="15" spans="1:23" s="89" customFormat="1" ht="34.5" customHeight="1" x14ac:dyDescent="0.35">
      <c r="A15" s="14">
        <v>14</v>
      </c>
      <c r="B15" s="15" t="s">
        <v>18</v>
      </c>
      <c r="C15" s="15" t="s">
        <v>63</v>
      </c>
      <c r="D15" s="15" t="s">
        <v>64</v>
      </c>
      <c r="E15" s="20" t="s">
        <v>57</v>
      </c>
      <c r="F15" s="15" t="s">
        <v>65</v>
      </c>
      <c r="G15" s="15" t="s">
        <v>23</v>
      </c>
      <c r="H15" s="19">
        <v>10</v>
      </c>
      <c r="I15" s="91" t="s">
        <v>1394</v>
      </c>
      <c r="J15" s="15" t="s">
        <v>30</v>
      </c>
      <c r="K15" s="15" t="s">
        <v>51</v>
      </c>
      <c r="L15" s="17">
        <v>8</v>
      </c>
      <c r="M15" s="18">
        <f t="shared" si="0"/>
        <v>25000</v>
      </c>
      <c r="N15" s="18">
        <f t="shared" si="1"/>
        <v>200000</v>
      </c>
      <c r="O15" s="18">
        <f>M15*3</f>
        <v>75000</v>
      </c>
      <c r="P15" s="18">
        <f>M15*10*0.8</f>
        <v>200000</v>
      </c>
      <c r="Q15" s="18">
        <f t="shared" si="2"/>
        <v>3076.9230769230771</v>
      </c>
      <c r="R15" s="18">
        <f t="shared" si="3"/>
        <v>12307.692307692309</v>
      </c>
    </row>
    <row r="16" spans="1:23" s="89" customFormat="1" ht="34.5" customHeight="1" x14ac:dyDescent="0.35">
      <c r="A16" s="14">
        <v>15</v>
      </c>
      <c r="B16" s="15" t="s">
        <v>18</v>
      </c>
      <c r="C16" s="15" t="s">
        <v>66</v>
      </c>
      <c r="D16" s="15" t="s">
        <v>67</v>
      </c>
      <c r="E16" s="15" t="s">
        <v>57</v>
      </c>
      <c r="F16" s="15" t="s">
        <v>50</v>
      </c>
      <c r="G16" s="15" t="s">
        <v>23</v>
      </c>
      <c r="H16" s="19">
        <v>6</v>
      </c>
      <c r="I16" s="91" t="s">
        <v>1395</v>
      </c>
      <c r="J16" s="15" t="s">
        <v>30</v>
      </c>
      <c r="K16" s="15" t="s">
        <v>51</v>
      </c>
      <c r="L16" s="17">
        <v>10</v>
      </c>
      <c r="M16" s="18">
        <f t="shared" si="0"/>
        <v>15000</v>
      </c>
      <c r="N16" s="18">
        <f t="shared" si="1"/>
        <v>150000</v>
      </c>
      <c r="O16" s="18">
        <f>M16*3</f>
        <v>45000</v>
      </c>
      <c r="P16" s="18">
        <f>M16*10*0.8</f>
        <v>120000</v>
      </c>
      <c r="Q16" s="18">
        <f t="shared" si="2"/>
        <v>1846.1538461538462</v>
      </c>
      <c r="R16" s="18">
        <f t="shared" si="3"/>
        <v>7384.6153846153848</v>
      </c>
    </row>
    <row r="17" spans="1:18" s="89" customFormat="1" ht="34.5" customHeight="1" x14ac:dyDescent="0.35">
      <c r="A17" s="14">
        <v>16</v>
      </c>
      <c r="B17" s="15" t="s">
        <v>18</v>
      </c>
      <c r="C17" s="15" t="s">
        <v>68</v>
      </c>
      <c r="D17" s="15" t="s">
        <v>55</v>
      </c>
      <c r="E17" s="15" t="s">
        <v>60</v>
      </c>
      <c r="F17" s="15" t="s">
        <v>69</v>
      </c>
      <c r="G17" s="15" t="s">
        <v>23</v>
      </c>
      <c r="H17" s="19">
        <v>4</v>
      </c>
      <c r="I17" s="91" t="s">
        <v>1396</v>
      </c>
      <c r="J17" s="15" t="s">
        <v>30</v>
      </c>
      <c r="K17" s="15" t="s">
        <v>51</v>
      </c>
      <c r="L17" s="17">
        <v>8</v>
      </c>
      <c r="M17" s="18">
        <f t="shared" si="0"/>
        <v>10000</v>
      </c>
      <c r="N17" s="18">
        <f t="shared" si="1"/>
        <v>80000</v>
      </c>
      <c r="O17" s="18">
        <f>M17*3</f>
        <v>30000</v>
      </c>
      <c r="P17" s="18">
        <f>M17*6*0.8</f>
        <v>48000</v>
      </c>
      <c r="Q17" s="18">
        <f t="shared" si="2"/>
        <v>738.46153846153845</v>
      </c>
      <c r="R17" s="18">
        <f t="shared" si="3"/>
        <v>2953.8461538461538</v>
      </c>
    </row>
    <row r="18" spans="1:18" s="89" customFormat="1" ht="34.5" customHeight="1" x14ac:dyDescent="0.35">
      <c r="A18" s="14">
        <v>17</v>
      </c>
      <c r="B18" s="15" t="s">
        <v>18</v>
      </c>
      <c r="C18" s="15" t="s">
        <v>70</v>
      </c>
      <c r="D18" s="15" t="s">
        <v>71</v>
      </c>
      <c r="E18" s="15" t="s">
        <v>57</v>
      </c>
      <c r="F18" s="15" t="s">
        <v>72</v>
      </c>
      <c r="G18" s="15" t="s">
        <v>23</v>
      </c>
      <c r="H18" s="16">
        <v>1.8</v>
      </c>
      <c r="I18" s="91" t="s">
        <v>1397</v>
      </c>
      <c r="J18" s="15" t="s">
        <v>24</v>
      </c>
      <c r="K18" s="15" t="s">
        <v>51</v>
      </c>
      <c r="L18" s="17">
        <v>12</v>
      </c>
      <c r="M18" s="18">
        <f t="shared" si="0"/>
        <v>4500</v>
      </c>
      <c r="N18" s="18">
        <f t="shared" si="1"/>
        <v>54000</v>
      </c>
      <c r="O18" s="18">
        <f>M18*2</f>
        <v>9000</v>
      </c>
      <c r="P18" s="18">
        <f>M18*10*0.8</f>
        <v>36000</v>
      </c>
      <c r="Q18" s="18">
        <f t="shared" si="2"/>
        <v>553.84615384615381</v>
      </c>
      <c r="R18" s="18">
        <f t="shared" si="3"/>
        <v>2215.3846153846152</v>
      </c>
    </row>
    <row r="19" spans="1:18" s="89" customFormat="1" ht="18.75" customHeight="1" x14ac:dyDescent="0.35">
      <c r="A19" s="14">
        <v>18</v>
      </c>
      <c r="B19" s="15" t="s">
        <v>18</v>
      </c>
      <c r="C19" s="15" t="s">
        <v>73</v>
      </c>
      <c r="D19" s="15" t="s">
        <v>74</v>
      </c>
      <c r="E19" s="20" t="s">
        <v>75</v>
      </c>
      <c r="F19" s="15" t="s">
        <v>76</v>
      </c>
      <c r="G19" s="15" t="s">
        <v>23</v>
      </c>
      <c r="H19" s="14">
        <v>15</v>
      </c>
      <c r="I19" s="91" t="s">
        <v>1398</v>
      </c>
      <c r="J19" s="15" t="s">
        <v>30</v>
      </c>
      <c r="K19" s="15" t="s">
        <v>51</v>
      </c>
      <c r="L19" s="17">
        <v>8</v>
      </c>
      <c r="M19" s="18">
        <f t="shared" si="0"/>
        <v>37500</v>
      </c>
      <c r="N19" s="18">
        <f t="shared" si="1"/>
        <v>300000</v>
      </c>
      <c r="O19" s="18">
        <f>M19*3</f>
        <v>112500</v>
      </c>
      <c r="P19" s="18">
        <f>M19*7*0.8</f>
        <v>210000</v>
      </c>
      <c r="Q19" s="18">
        <f t="shared" si="2"/>
        <v>3230.7692307692309</v>
      </c>
      <c r="R19" s="18">
        <f t="shared" si="3"/>
        <v>12923.076923076924</v>
      </c>
    </row>
    <row r="20" spans="1:18" s="89" customFormat="1" ht="18.75" customHeight="1" x14ac:dyDescent="0.35">
      <c r="A20" s="14">
        <v>19</v>
      </c>
      <c r="B20" s="15" t="s">
        <v>18</v>
      </c>
      <c r="C20" s="15" t="s">
        <v>77</v>
      </c>
      <c r="D20" s="15" t="s">
        <v>78</v>
      </c>
      <c r="E20" s="15" t="s">
        <v>49</v>
      </c>
      <c r="F20" s="15" t="s">
        <v>79</v>
      </c>
      <c r="G20" s="15" t="s">
        <v>23</v>
      </c>
      <c r="H20" s="19">
        <v>40</v>
      </c>
      <c r="I20" s="91" t="s">
        <v>1399</v>
      </c>
      <c r="J20" s="15" t="s">
        <v>30</v>
      </c>
      <c r="K20" s="15" t="s">
        <v>51</v>
      </c>
      <c r="L20" s="17">
        <v>8</v>
      </c>
      <c r="M20" s="18">
        <f t="shared" si="0"/>
        <v>100000</v>
      </c>
      <c r="N20" s="18">
        <f t="shared" si="1"/>
        <v>800000</v>
      </c>
      <c r="O20" s="18">
        <f>M20*3</f>
        <v>300000</v>
      </c>
      <c r="P20" s="18">
        <f>M20*7*0.8</f>
        <v>560000</v>
      </c>
      <c r="Q20" s="18">
        <f t="shared" si="2"/>
        <v>8615.3846153846152</v>
      </c>
      <c r="R20" s="18">
        <f t="shared" si="3"/>
        <v>34461.538461538461</v>
      </c>
    </row>
    <row r="21" spans="1:18" s="89" customFormat="1" ht="18.75" customHeight="1" x14ac:dyDescent="0.35">
      <c r="A21" s="14">
        <v>20</v>
      </c>
      <c r="B21" s="15" t="s">
        <v>18</v>
      </c>
      <c r="C21" s="15" t="s">
        <v>80</v>
      </c>
      <c r="D21" s="15" t="s">
        <v>81</v>
      </c>
      <c r="E21" s="15" t="s">
        <v>82</v>
      </c>
      <c r="F21" s="15" t="s">
        <v>83</v>
      </c>
      <c r="G21" s="15" t="s">
        <v>84</v>
      </c>
      <c r="H21" s="16">
        <v>0.06</v>
      </c>
      <c r="I21" s="91" t="s">
        <v>1400</v>
      </c>
      <c r="J21" s="15" t="s">
        <v>24</v>
      </c>
      <c r="K21" s="15" t="s">
        <v>35</v>
      </c>
      <c r="L21" s="17">
        <v>7</v>
      </c>
      <c r="M21" s="21">
        <f t="shared" ref="M21:M26" si="4">H21*10000</f>
        <v>600</v>
      </c>
      <c r="N21" s="21">
        <f t="shared" si="1"/>
        <v>4200</v>
      </c>
      <c r="O21" s="21">
        <f t="shared" ref="O21:O35" si="5">M21*L21</f>
        <v>4200</v>
      </c>
      <c r="P21" s="18">
        <v>0</v>
      </c>
      <c r="Q21" s="18">
        <f t="shared" si="2"/>
        <v>0</v>
      </c>
      <c r="R21" s="18">
        <f t="shared" si="3"/>
        <v>0</v>
      </c>
    </row>
    <row r="22" spans="1:18" s="89" customFormat="1" ht="18.75" customHeight="1" x14ac:dyDescent="0.35">
      <c r="A22" s="14">
        <v>21</v>
      </c>
      <c r="B22" s="15" t="s">
        <v>18</v>
      </c>
      <c r="C22" s="15" t="s">
        <v>85</v>
      </c>
      <c r="D22" s="15" t="s">
        <v>86</v>
      </c>
      <c r="E22" s="15" t="s">
        <v>87</v>
      </c>
      <c r="F22" s="15" t="s">
        <v>88</v>
      </c>
      <c r="G22" s="15" t="s">
        <v>84</v>
      </c>
      <c r="H22" s="16">
        <v>7.0000000000000007E-2</v>
      </c>
      <c r="I22" s="91" t="s">
        <v>1401</v>
      </c>
      <c r="J22" s="15" t="s">
        <v>89</v>
      </c>
      <c r="K22" s="15" t="s">
        <v>35</v>
      </c>
      <c r="L22" s="17">
        <v>7</v>
      </c>
      <c r="M22" s="21">
        <f t="shared" si="4"/>
        <v>700.00000000000011</v>
      </c>
      <c r="N22" s="21">
        <f t="shared" si="1"/>
        <v>4900.0000000000009</v>
      </c>
      <c r="O22" s="21">
        <f t="shared" si="5"/>
        <v>4900.0000000000009</v>
      </c>
      <c r="P22" s="18">
        <v>0</v>
      </c>
      <c r="Q22" s="18">
        <f t="shared" si="2"/>
        <v>0</v>
      </c>
      <c r="R22" s="18">
        <f t="shared" si="3"/>
        <v>0</v>
      </c>
    </row>
    <row r="23" spans="1:18" s="89" customFormat="1" ht="18.75" customHeight="1" x14ac:dyDescent="0.35">
      <c r="A23" s="14">
        <v>22</v>
      </c>
      <c r="B23" s="15" t="s">
        <v>18</v>
      </c>
      <c r="C23" s="15" t="s">
        <v>90</v>
      </c>
      <c r="D23" s="15" t="s">
        <v>86</v>
      </c>
      <c r="E23" s="15" t="s">
        <v>87</v>
      </c>
      <c r="F23" s="15" t="s">
        <v>91</v>
      </c>
      <c r="G23" s="15" t="s">
        <v>84</v>
      </c>
      <c r="H23" s="16">
        <v>0.06</v>
      </c>
      <c r="I23" s="91" t="s">
        <v>1402</v>
      </c>
      <c r="J23" s="15" t="s">
        <v>89</v>
      </c>
      <c r="K23" s="15" t="s">
        <v>35</v>
      </c>
      <c r="L23" s="17">
        <v>7</v>
      </c>
      <c r="M23" s="21">
        <f t="shared" si="4"/>
        <v>600</v>
      </c>
      <c r="N23" s="21">
        <f t="shared" si="1"/>
        <v>4200</v>
      </c>
      <c r="O23" s="21">
        <f t="shared" si="5"/>
        <v>4200</v>
      </c>
      <c r="P23" s="18">
        <v>0</v>
      </c>
      <c r="Q23" s="18">
        <f t="shared" si="2"/>
        <v>0</v>
      </c>
      <c r="R23" s="18">
        <f t="shared" si="3"/>
        <v>0</v>
      </c>
    </row>
    <row r="24" spans="1:18" s="89" customFormat="1" ht="18.75" customHeight="1" x14ac:dyDescent="0.35">
      <c r="A24" s="14">
        <v>23</v>
      </c>
      <c r="B24" s="15" t="s">
        <v>18</v>
      </c>
      <c r="C24" s="15" t="s">
        <v>92</v>
      </c>
      <c r="D24" s="15" t="s">
        <v>86</v>
      </c>
      <c r="E24" s="15" t="s">
        <v>87</v>
      </c>
      <c r="F24" s="15" t="s">
        <v>93</v>
      </c>
      <c r="G24" s="15" t="s">
        <v>84</v>
      </c>
      <c r="H24" s="16">
        <v>0.1</v>
      </c>
      <c r="I24" s="91" t="s">
        <v>1403</v>
      </c>
      <c r="J24" s="15" t="s">
        <v>89</v>
      </c>
      <c r="K24" s="15" t="s">
        <v>35</v>
      </c>
      <c r="L24" s="17">
        <v>6</v>
      </c>
      <c r="M24" s="21">
        <f t="shared" si="4"/>
        <v>1000</v>
      </c>
      <c r="N24" s="21">
        <f t="shared" si="1"/>
        <v>6000</v>
      </c>
      <c r="O24" s="21">
        <f t="shared" si="5"/>
        <v>6000</v>
      </c>
      <c r="P24" s="18">
        <v>0</v>
      </c>
      <c r="Q24" s="18">
        <f t="shared" si="2"/>
        <v>0</v>
      </c>
      <c r="R24" s="18">
        <f t="shared" si="3"/>
        <v>0</v>
      </c>
    </row>
    <row r="25" spans="1:18" s="89" customFormat="1" ht="18.75" customHeight="1" x14ac:dyDescent="0.35">
      <c r="A25" s="14">
        <v>24</v>
      </c>
      <c r="B25" s="15" t="s">
        <v>18</v>
      </c>
      <c r="C25" s="15" t="s">
        <v>94</v>
      </c>
      <c r="D25" s="15" t="s">
        <v>78</v>
      </c>
      <c r="E25" s="15" t="s">
        <v>87</v>
      </c>
      <c r="F25" s="15" t="s">
        <v>95</v>
      </c>
      <c r="G25" s="15" t="s">
        <v>84</v>
      </c>
      <c r="H25" s="16">
        <v>0.04</v>
      </c>
      <c r="I25" s="91" t="s">
        <v>1404</v>
      </c>
      <c r="J25" s="15" t="s">
        <v>89</v>
      </c>
      <c r="K25" s="15" t="s">
        <v>35</v>
      </c>
      <c r="L25" s="17">
        <v>6</v>
      </c>
      <c r="M25" s="21">
        <f t="shared" si="4"/>
        <v>400</v>
      </c>
      <c r="N25" s="21">
        <f t="shared" si="1"/>
        <v>2400</v>
      </c>
      <c r="O25" s="21">
        <f t="shared" si="5"/>
        <v>2400</v>
      </c>
      <c r="P25" s="18">
        <v>0</v>
      </c>
      <c r="Q25" s="18">
        <f t="shared" si="2"/>
        <v>0</v>
      </c>
      <c r="R25" s="18">
        <f t="shared" si="3"/>
        <v>0</v>
      </c>
    </row>
    <row r="26" spans="1:18" s="89" customFormat="1" ht="18.75" customHeight="1" x14ac:dyDescent="0.35">
      <c r="A26" s="14">
        <v>25</v>
      </c>
      <c r="B26" s="15" t="s">
        <v>18</v>
      </c>
      <c r="C26" s="15" t="s">
        <v>96</v>
      </c>
      <c r="D26" s="15" t="s">
        <v>78</v>
      </c>
      <c r="E26" s="15" t="s">
        <v>87</v>
      </c>
      <c r="F26" s="15" t="s">
        <v>97</v>
      </c>
      <c r="G26" s="15" t="s">
        <v>84</v>
      </c>
      <c r="H26" s="16">
        <v>0.04</v>
      </c>
      <c r="I26" s="91" t="s">
        <v>1405</v>
      </c>
      <c r="J26" s="15" t="s">
        <v>89</v>
      </c>
      <c r="K26" s="15" t="s">
        <v>35</v>
      </c>
      <c r="L26" s="17">
        <v>6</v>
      </c>
      <c r="M26" s="21">
        <f t="shared" si="4"/>
        <v>400</v>
      </c>
      <c r="N26" s="21">
        <f t="shared" si="1"/>
        <v>2400</v>
      </c>
      <c r="O26" s="21">
        <f t="shared" si="5"/>
        <v>2400</v>
      </c>
      <c r="P26" s="18">
        <v>0</v>
      </c>
      <c r="Q26" s="18">
        <f t="shared" si="2"/>
        <v>0</v>
      </c>
      <c r="R26" s="18">
        <f t="shared" si="3"/>
        <v>0</v>
      </c>
    </row>
    <row r="27" spans="1:18" s="89" customFormat="1" ht="18.75" customHeight="1" x14ac:dyDescent="0.35">
      <c r="A27" s="14">
        <v>26</v>
      </c>
      <c r="B27" s="22" t="s">
        <v>98</v>
      </c>
      <c r="C27" s="22" t="s">
        <v>99</v>
      </c>
      <c r="D27" s="22" t="s">
        <v>100</v>
      </c>
      <c r="E27" s="22" t="s">
        <v>101</v>
      </c>
      <c r="F27" s="22" t="s">
        <v>102</v>
      </c>
      <c r="G27" s="22" t="s">
        <v>29</v>
      </c>
      <c r="H27" s="23">
        <v>0.1</v>
      </c>
      <c r="I27" s="111" t="s">
        <v>1406</v>
      </c>
      <c r="J27" s="22" t="s">
        <v>24</v>
      </c>
      <c r="K27" s="22" t="s">
        <v>25</v>
      </c>
      <c r="L27" s="24">
        <v>2</v>
      </c>
      <c r="M27" s="25">
        <f t="shared" ref="M27:M32" si="6">H27*10000*0.25</f>
        <v>250</v>
      </c>
      <c r="N27" s="25">
        <f t="shared" si="1"/>
        <v>500</v>
      </c>
      <c r="O27" s="25">
        <f t="shared" si="5"/>
        <v>500</v>
      </c>
      <c r="P27" s="25">
        <v>0</v>
      </c>
      <c r="Q27" s="25">
        <f t="shared" si="2"/>
        <v>0</v>
      </c>
      <c r="R27" s="25">
        <f t="shared" si="3"/>
        <v>0</v>
      </c>
    </row>
    <row r="28" spans="1:18" s="89" customFormat="1" ht="18.75" customHeight="1" x14ac:dyDescent="0.35">
      <c r="A28" s="14">
        <v>27</v>
      </c>
      <c r="B28" s="22" t="s">
        <v>98</v>
      </c>
      <c r="C28" s="22" t="s">
        <v>103</v>
      </c>
      <c r="D28" s="22" t="s">
        <v>104</v>
      </c>
      <c r="E28" s="22" t="s">
        <v>101</v>
      </c>
      <c r="F28" s="22" t="s">
        <v>105</v>
      </c>
      <c r="G28" s="22" t="s">
        <v>29</v>
      </c>
      <c r="H28" s="23">
        <v>0.08</v>
      </c>
      <c r="I28" s="111" t="s">
        <v>1407</v>
      </c>
      <c r="J28" s="22" t="s">
        <v>89</v>
      </c>
      <c r="K28" s="22" t="s">
        <v>25</v>
      </c>
      <c r="L28" s="24">
        <v>2</v>
      </c>
      <c r="M28" s="25">
        <f t="shared" si="6"/>
        <v>200</v>
      </c>
      <c r="N28" s="25">
        <f t="shared" si="1"/>
        <v>400</v>
      </c>
      <c r="O28" s="25">
        <f t="shared" si="5"/>
        <v>400</v>
      </c>
      <c r="P28" s="25">
        <v>0</v>
      </c>
      <c r="Q28" s="25">
        <f t="shared" si="2"/>
        <v>0</v>
      </c>
      <c r="R28" s="25">
        <f t="shared" si="3"/>
        <v>0</v>
      </c>
    </row>
    <row r="29" spans="1:18" s="89" customFormat="1" ht="18.75" customHeight="1" x14ac:dyDescent="0.35">
      <c r="A29" s="14">
        <v>28</v>
      </c>
      <c r="B29" s="22" t="s">
        <v>98</v>
      </c>
      <c r="C29" s="22" t="s">
        <v>106</v>
      </c>
      <c r="D29" s="22" t="s">
        <v>107</v>
      </c>
      <c r="E29" s="22" t="s">
        <v>108</v>
      </c>
      <c r="F29" s="22" t="s">
        <v>109</v>
      </c>
      <c r="G29" s="22" t="s">
        <v>29</v>
      </c>
      <c r="H29" s="23">
        <v>52.2</v>
      </c>
      <c r="I29" s="111" t="s">
        <v>1408</v>
      </c>
      <c r="J29" s="22" t="s">
        <v>89</v>
      </c>
      <c r="K29" s="22" t="s">
        <v>25</v>
      </c>
      <c r="L29" s="24">
        <v>5</v>
      </c>
      <c r="M29" s="25">
        <f t="shared" si="6"/>
        <v>130500</v>
      </c>
      <c r="N29" s="25">
        <f t="shared" si="1"/>
        <v>652500</v>
      </c>
      <c r="O29" s="25">
        <f t="shared" si="5"/>
        <v>652500</v>
      </c>
      <c r="P29" s="25">
        <v>0</v>
      </c>
      <c r="Q29" s="25">
        <f t="shared" si="2"/>
        <v>0</v>
      </c>
      <c r="R29" s="25">
        <f t="shared" si="3"/>
        <v>0</v>
      </c>
    </row>
    <row r="30" spans="1:18" s="89" customFormat="1" ht="18.75" customHeight="1" x14ac:dyDescent="0.35">
      <c r="A30" s="14">
        <v>29</v>
      </c>
      <c r="B30" s="22" t="s">
        <v>98</v>
      </c>
      <c r="C30" s="22" t="s">
        <v>110</v>
      </c>
      <c r="D30" s="22" t="s">
        <v>111</v>
      </c>
      <c r="E30" s="22" t="s">
        <v>108</v>
      </c>
      <c r="F30" s="22" t="s">
        <v>112</v>
      </c>
      <c r="G30" s="22" t="s">
        <v>113</v>
      </c>
      <c r="H30" s="23">
        <v>0.08</v>
      </c>
      <c r="I30" s="111" t="s">
        <v>1409</v>
      </c>
      <c r="J30" s="22" t="s">
        <v>89</v>
      </c>
      <c r="K30" s="22" t="s">
        <v>25</v>
      </c>
      <c r="L30" s="24">
        <v>5</v>
      </c>
      <c r="M30" s="25">
        <f t="shared" si="6"/>
        <v>200</v>
      </c>
      <c r="N30" s="25">
        <f t="shared" si="1"/>
        <v>1000</v>
      </c>
      <c r="O30" s="25">
        <f t="shared" si="5"/>
        <v>1000</v>
      </c>
      <c r="P30" s="25">
        <v>0</v>
      </c>
      <c r="Q30" s="25">
        <f t="shared" si="2"/>
        <v>0</v>
      </c>
      <c r="R30" s="25">
        <f t="shared" si="3"/>
        <v>0</v>
      </c>
    </row>
    <row r="31" spans="1:18" s="89" customFormat="1" ht="18.75" customHeight="1" x14ac:dyDescent="0.35">
      <c r="A31" s="14">
        <v>30</v>
      </c>
      <c r="B31" s="22" t="s">
        <v>98</v>
      </c>
      <c r="C31" s="22" t="s">
        <v>114</v>
      </c>
      <c r="D31" s="22" t="s">
        <v>115</v>
      </c>
      <c r="E31" s="22" t="s">
        <v>108</v>
      </c>
      <c r="F31" s="22" t="s">
        <v>116</v>
      </c>
      <c r="G31" s="22" t="s">
        <v>29</v>
      </c>
      <c r="H31" s="23">
        <v>1.6E-2</v>
      </c>
      <c r="I31" s="111" t="s">
        <v>1410</v>
      </c>
      <c r="J31" s="22" t="s">
        <v>117</v>
      </c>
      <c r="K31" s="22" t="s">
        <v>25</v>
      </c>
      <c r="L31" s="24">
        <v>5</v>
      </c>
      <c r="M31" s="25">
        <f t="shared" si="6"/>
        <v>40</v>
      </c>
      <c r="N31" s="25">
        <f t="shared" si="1"/>
        <v>200</v>
      </c>
      <c r="O31" s="25">
        <f t="shared" si="5"/>
        <v>200</v>
      </c>
      <c r="P31" s="25">
        <v>0</v>
      </c>
      <c r="Q31" s="25">
        <f t="shared" si="2"/>
        <v>0</v>
      </c>
      <c r="R31" s="25">
        <f t="shared" si="3"/>
        <v>0</v>
      </c>
    </row>
    <row r="32" spans="1:18" s="89" customFormat="1" ht="18.75" customHeight="1" x14ac:dyDescent="0.35">
      <c r="A32" s="14">
        <v>31</v>
      </c>
      <c r="B32" s="22" t="s">
        <v>98</v>
      </c>
      <c r="C32" s="22" t="s">
        <v>118</v>
      </c>
      <c r="D32" s="22" t="s">
        <v>119</v>
      </c>
      <c r="E32" s="22" t="s">
        <v>108</v>
      </c>
      <c r="F32" s="22" t="s">
        <v>120</v>
      </c>
      <c r="G32" s="22" t="s">
        <v>29</v>
      </c>
      <c r="H32" s="23">
        <v>2.8199999999999999E-2</v>
      </c>
      <c r="I32" s="111" t="s">
        <v>1411</v>
      </c>
      <c r="J32" s="22" t="s">
        <v>89</v>
      </c>
      <c r="K32" s="22" t="s">
        <v>25</v>
      </c>
      <c r="L32" s="24">
        <v>5</v>
      </c>
      <c r="M32" s="25">
        <f t="shared" si="6"/>
        <v>70.5</v>
      </c>
      <c r="N32" s="25">
        <f t="shared" si="1"/>
        <v>352.5</v>
      </c>
      <c r="O32" s="25">
        <f t="shared" si="5"/>
        <v>352.5</v>
      </c>
      <c r="P32" s="25">
        <v>0</v>
      </c>
      <c r="Q32" s="25">
        <f t="shared" si="2"/>
        <v>0</v>
      </c>
      <c r="R32" s="25">
        <f t="shared" si="3"/>
        <v>0</v>
      </c>
    </row>
    <row r="33" spans="1:18" s="89" customFormat="1" ht="18.75" customHeight="1" x14ac:dyDescent="0.35">
      <c r="A33" s="14">
        <v>32</v>
      </c>
      <c r="B33" s="22" t="s">
        <v>98</v>
      </c>
      <c r="C33" s="22" t="s">
        <v>121</v>
      </c>
      <c r="D33" s="22" t="s">
        <v>100</v>
      </c>
      <c r="E33" s="22" t="s">
        <v>122</v>
      </c>
      <c r="F33" s="22" t="s">
        <v>123</v>
      </c>
      <c r="G33" s="22" t="s">
        <v>84</v>
      </c>
      <c r="H33" s="23">
        <v>0.05</v>
      </c>
      <c r="I33" s="111" t="s">
        <v>1412</v>
      </c>
      <c r="J33" s="22" t="s">
        <v>24</v>
      </c>
      <c r="K33" s="22" t="s">
        <v>51</v>
      </c>
      <c r="L33" s="24">
        <v>5</v>
      </c>
      <c r="M33" s="21">
        <f>H33*10000</f>
        <v>500</v>
      </c>
      <c r="N33" s="21">
        <f t="shared" si="1"/>
        <v>2500</v>
      </c>
      <c r="O33" s="21">
        <f t="shared" si="5"/>
        <v>2500</v>
      </c>
      <c r="P33" s="25">
        <v>0</v>
      </c>
      <c r="Q33" s="25">
        <f t="shared" si="2"/>
        <v>0</v>
      </c>
      <c r="R33" s="25">
        <f t="shared" si="3"/>
        <v>0</v>
      </c>
    </row>
    <row r="34" spans="1:18" s="89" customFormat="1" ht="18.75" customHeight="1" x14ac:dyDescent="0.35">
      <c r="A34" s="14">
        <v>33</v>
      </c>
      <c r="B34" s="22" t="s">
        <v>98</v>
      </c>
      <c r="C34" s="22" t="s">
        <v>110</v>
      </c>
      <c r="D34" s="22" t="s">
        <v>124</v>
      </c>
      <c r="E34" s="22" t="s">
        <v>122</v>
      </c>
      <c r="F34" s="22" t="s">
        <v>125</v>
      </c>
      <c r="G34" s="22" t="s">
        <v>84</v>
      </c>
      <c r="H34" s="23">
        <v>0.05</v>
      </c>
      <c r="I34" s="111" t="s">
        <v>1413</v>
      </c>
      <c r="J34" s="22" t="s">
        <v>24</v>
      </c>
      <c r="K34" s="22" t="s">
        <v>51</v>
      </c>
      <c r="L34" s="24">
        <v>5</v>
      </c>
      <c r="M34" s="21">
        <f>H34*10000</f>
        <v>500</v>
      </c>
      <c r="N34" s="21">
        <f t="shared" si="1"/>
        <v>2500</v>
      </c>
      <c r="O34" s="21">
        <f t="shared" si="5"/>
        <v>2500</v>
      </c>
      <c r="P34" s="25">
        <v>0</v>
      </c>
      <c r="Q34" s="25">
        <f t="shared" si="2"/>
        <v>0</v>
      </c>
      <c r="R34" s="25">
        <f t="shared" si="3"/>
        <v>0</v>
      </c>
    </row>
    <row r="35" spans="1:18" s="89" customFormat="1" ht="18.75" customHeight="1" x14ac:dyDescent="0.35">
      <c r="A35" s="14">
        <v>34</v>
      </c>
      <c r="B35" s="22" t="s">
        <v>98</v>
      </c>
      <c r="C35" s="22" t="s">
        <v>126</v>
      </c>
      <c r="D35" s="22" t="s">
        <v>124</v>
      </c>
      <c r="E35" s="22" t="s">
        <v>127</v>
      </c>
      <c r="F35" s="22" t="s">
        <v>128</v>
      </c>
      <c r="G35" s="22" t="s">
        <v>29</v>
      </c>
      <c r="H35" s="26">
        <v>29</v>
      </c>
      <c r="I35" s="111" t="s">
        <v>1414</v>
      </c>
      <c r="J35" s="22" t="s">
        <v>24</v>
      </c>
      <c r="K35" s="22" t="s">
        <v>51</v>
      </c>
      <c r="L35" s="24">
        <v>2</v>
      </c>
      <c r="M35" s="25">
        <f t="shared" ref="M35:M43" si="7">H35*10000*0.25</f>
        <v>72500</v>
      </c>
      <c r="N35" s="25">
        <f t="shared" si="1"/>
        <v>145000</v>
      </c>
      <c r="O35" s="25">
        <f t="shared" si="5"/>
        <v>145000</v>
      </c>
      <c r="P35" s="25">
        <v>0</v>
      </c>
      <c r="Q35" s="25">
        <f t="shared" si="2"/>
        <v>0</v>
      </c>
      <c r="R35" s="25">
        <f t="shared" si="3"/>
        <v>0</v>
      </c>
    </row>
    <row r="36" spans="1:18" s="89" customFormat="1" ht="18.75" customHeight="1" x14ac:dyDescent="0.35">
      <c r="A36" s="14">
        <v>35</v>
      </c>
      <c r="B36" s="22" t="s">
        <v>98</v>
      </c>
      <c r="C36" s="22" t="s">
        <v>129</v>
      </c>
      <c r="D36" s="22" t="s">
        <v>130</v>
      </c>
      <c r="E36" s="22" t="s">
        <v>122</v>
      </c>
      <c r="F36" s="22" t="s">
        <v>131</v>
      </c>
      <c r="G36" s="22" t="s">
        <v>132</v>
      </c>
      <c r="H36" s="23">
        <v>77.7</v>
      </c>
      <c r="I36" s="111" t="s">
        <v>1415</v>
      </c>
      <c r="J36" s="22" t="s">
        <v>24</v>
      </c>
      <c r="K36" s="22" t="s">
        <v>51</v>
      </c>
      <c r="L36" s="24">
        <v>5</v>
      </c>
      <c r="M36" s="25">
        <f t="shared" si="7"/>
        <v>194250</v>
      </c>
      <c r="N36" s="25">
        <f t="shared" si="1"/>
        <v>971250</v>
      </c>
      <c r="O36" s="25">
        <f>M36*5</f>
        <v>971250</v>
      </c>
      <c r="P36" s="25">
        <f>N36-O36</f>
        <v>0</v>
      </c>
      <c r="Q36" s="25">
        <f>P36/60</f>
        <v>0</v>
      </c>
      <c r="R36" s="25">
        <f t="shared" si="3"/>
        <v>0</v>
      </c>
    </row>
    <row r="37" spans="1:18" s="89" customFormat="1" ht="18.75" customHeight="1" x14ac:dyDescent="0.35">
      <c r="A37" s="14">
        <v>36</v>
      </c>
      <c r="B37" s="22" t="s">
        <v>98</v>
      </c>
      <c r="C37" s="22" t="s">
        <v>133</v>
      </c>
      <c r="D37" s="22" t="s">
        <v>134</v>
      </c>
      <c r="E37" s="22" t="s">
        <v>135</v>
      </c>
      <c r="F37" s="22" t="s">
        <v>136</v>
      </c>
      <c r="G37" s="22" t="s">
        <v>23</v>
      </c>
      <c r="H37" s="23">
        <v>77.7</v>
      </c>
      <c r="I37" s="111" t="s">
        <v>1416</v>
      </c>
      <c r="J37" s="22" t="s">
        <v>117</v>
      </c>
      <c r="K37" s="22" t="s">
        <v>51</v>
      </c>
      <c r="L37" s="24">
        <v>7</v>
      </c>
      <c r="M37" s="25">
        <f t="shared" si="7"/>
        <v>194250</v>
      </c>
      <c r="N37" s="25">
        <f t="shared" si="1"/>
        <v>1359750</v>
      </c>
      <c r="O37" s="25">
        <f>M37*2</f>
        <v>388500</v>
      </c>
      <c r="P37" s="25">
        <f>M37*5*0.8</f>
        <v>777000</v>
      </c>
      <c r="Q37" s="25">
        <f>P37/70</f>
        <v>11100</v>
      </c>
      <c r="R37" s="25">
        <f t="shared" si="3"/>
        <v>44400</v>
      </c>
    </row>
    <row r="38" spans="1:18" s="89" customFormat="1" ht="18.75" customHeight="1" x14ac:dyDescent="0.35">
      <c r="A38" s="14">
        <v>37</v>
      </c>
      <c r="B38" s="22" t="s">
        <v>98</v>
      </c>
      <c r="C38" s="22" t="s">
        <v>103</v>
      </c>
      <c r="D38" s="22" t="s">
        <v>137</v>
      </c>
      <c r="E38" s="22" t="s">
        <v>138</v>
      </c>
      <c r="F38" s="22" t="s">
        <v>139</v>
      </c>
      <c r="G38" s="22" t="s">
        <v>23</v>
      </c>
      <c r="H38" s="26">
        <v>5</v>
      </c>
      <c r="I38" s="111" t="s">
        <v>1417</v>
      </c>
      <c r="J38" s="22" t="s">
        <v>30</v>
      </c>
      <c r="K38" s="22" t="s">
        <v>35</v>
      </c>
      <c r="L38" s="24">
        <v>10</v>
      </c>
      <c r="M38" s="25">
        <f t="shared" si="7"/>
        <v>12500</v>
      </c>
      <c r="N38" s="25">
        <f t="shared" si="1"/>
        <v>125000</v>
      </c>
      <c r="O38" s="25">
        <f>M38*2</f>
        <v>25000</v>
      </c>
      <c r="P38" s="25">
        <f>M38*8*0.8</f>
        <v>80000</v>
      </c>
      <c r="Q38" s="25">
        <f>P38/70</f>
        <v>1142.8571428571429</v>
      </c>
      <c r="R38" s="25">
        <f t="shared" si="3"/>
        <v>4571.4285714285716</v>
      </c>
    </row>
    <row r="39" spans="1:18" s="89" customFormat="1" ht="18.75" customHeight="1" x14ac:dyDescent="0.35">
      <c r="A39" s="14">
        <v>38</v>
      </c>
      <c r="B39" s="22" t="s">
        <v>98</v>
      </c>
      <c r="C39" s="22" t="s">
        <v>140</v>
      </c>
      <c r="D39" s="22" t="s">
        <v>141</v>
      </c>
      <c r="E39" s="22" t="s">
        <v>142</v>
      </c>
      <c r="F39" s="22" t="s">
        <v>143</v>
      </c>
      <c r="G39" s="22" t="s">
        <v>23</v>
      </c>
      <c r="H39" s="26">
        <v>8</v>
      </c>
      <c r="I39" s="111" t="s">
        <v>1418</v>
      </c>
      <c r="J39" s="22" t="s">
        <v>30</v>
      </c>
      <c r="K39" s="22" t="s">
        <v>51</v>
      </c>
      <c r="L39" s="24">
        <v>12</v>
      </c>
      <c r="M39" s="25">
        <f t="shared" si="7"/>
        <v>20000</v>
      </c>
      <c r="N39" s="25">
        <f t="shared" si="1"/>
        <v>240000</v>
      </c>
      <c r="O39" s="25">
        <f>M39*3</f>
        <v>60000</v>
      </c>
      <c r="P39" s="25">
        <f>M39*9*0.8</f>
        <v>144000</v>
      </c>
      <c r="Q39" s="25">
        <f>P39/70</f>
        <v>2057.1428571428573</v>
      </c>
      <c r="R39" s="25">
        <f t="shared" si="3"/>
        <v>8228.5714285714294</v>
      </c>
    </row>
    <row r="40" spans="1:18" s="117" customFormat="1" ht="18.75" customHeight="1" x14ac:dyDescent="0.35">
      <c r="A40" s="112">
        <v>39</v>
      </c>
      <c r="B40" s="113" t="s">
        <v>98</v>
      </c>
      <c r="C40" s="113" t="s">
        <v>144</v>
      </c>
      <c r="D40" s="113" t="s">
        <v>145</v>
      </c>
      <c r="E40" s="113" t="s">
        <v>146</v>
      </c>
      <c r="F40" s="113" t="s">
        <v>147</v>
      </c>
      <c r="G40" s="113" t="s">
        <v>23</v>
      </c>
      <c r="H40" s="114">
        <v>44.7</v>
      </c>
      <c r="I40" s="113" t="s">
        <v>148</v>
      </c>
      <c r="J40" s="113" t="s">
        <v>117</v>
      </c>
      <c r="K40" s="113" t="s">
        <v>51</v>
      </c>
      <c r="L40" s="115">
        <v>12</v>
      </c>
      <c r="M40" s="116">
        <f t="shared" si="7"/>
        <v>111750</v>
      </c>
      <c r="N40" s="116">
        <f t="shared" si="1"/>
        <v>1341000</v>
      </c>
      <c r="O40" s="116">
        <f>M40*3</f>
        <v>335250</v>
      </c>
      <c r="P40" s="116">
        <f>M40*8*0.8</f>
        <v>715200</v>
      </c>
      <c r="Q40" s="116">
        <f>P40/70</f>
        <v>10217.142857142857</v>
      </c>
      <c r="R40" s="116">
        <f t="shared" si="3"/>
        <v>40868.571428571428</v>
      </c>
    </row>
    <row r="41" spans="1:18" s="89" customFormat="1" ht="18.75" customHeight="1" x14ac:dyDescent="0.35">
      <c r="A41" s="14">
        <v>40</v>
      </c>
      <c r="B41" s="22" t="s">
        <v>98</v>
      </c>
      <c r="C41" s="22" t="s">
        <v>149</v>
      </c>
      <c r="D41" s="22" t="s">
        <v>150</v>
      </c>
      <c r="E41" s="22" t="s">
        <v>122</v>
      </c>
      <c r="F41" s="22" t="s">
        <v>151</v>
      </c>
      <c r="G41" s="22" t="s">
        <v>113</v>
      </c>
      <c r="H41" s="23">
        <v>0.34</v>
      </c>
      <c r="I41" s="111" t="s">
        <v>1419</v>
      </c>
      <c r="J41" s="22" t="s">
        <v>24</v>
      </c>
      <c r="K41" s="22" t="s">
        <v>51</v>
      </c>
      <c r="L41" s="24">
        <v>5</v>
      </c>
      <c r="M41" s="25">
        <f t="shared" si="7"/>
        <v>850.00000000000011</v>
      </c>
      <c r="N41" s="25">
        <f t="shared" si="1"/>
        <v>4250.0000000000009</v>
      </c>
      <c r="O41" s="25">
        <f>M41*5</f>
        <v>4250.0000000000009</v>
      </c>
      <c r="P41" s="25">
        <f>N41-O41</f>
        <v>0</v>
      </c>
      <c r="Q41" s="25">
        <f>P41/60</f>
        <v>0</v>
      </c>
      <c r="R41" s="25">
        <f t="shared" si="3"/>
        <v>0</v>
      </c>
    </row>
    <row r="42" spans="1:18" s="89" customFormat="1" ht="18.75" customHeight="1" x14ac:dyDescent="0.35">
      <c r="A42" s="14">
        <v>41</v>
      </c>
      <c r="B42" s="22" t="s">
        <v>98</v>
      </c>
      <c r="C42" s="22" t="s">
        <v>152</v>
      </c>
      <c r="D42" s="22" t="s">
        <v>153</v>
      </c>
      <c r="E42" s="22" t="s">
        <v>122</v>
      </c>
      <c r="F42" s="22" t="s">
        <v>151</v>
      </c>
      <c r="G42" s="22" t="s">
        <v>113</v>
      </c>
      <c r="H42" s="23">
        <v>0.3</v>
      </c>
      <c r="I42" s="111" t="s">
        <v>1420</v>
      </c>
      <c r="J42" s="22" t="s">
        <v>24</v>
      </c>
      <c r="K42" s="22" t="s">
        <v>51</v>
      </c>
      <c r="L42" s="24">
        <v>5</v>
      </c>
      <c r="M42" s="25">
        <f t="shared" si="7"/>
        <v>750</v>
      </c>
      <c r="N42" s="25">
        <f t="shared" si="1"/>
        <v>3750</v>
      </c>
      <c r="O42" s="25">
        <f>M42*5</f>
        <v>3750</v>
      </c>
      <c r="P42" s="25">
        <f>N42-O42</f>
        <v>0</v>
      </c>
      <c r="Q42" s="25">
        <f>P42/60</f>
        <v>0</v>
      </c>
      <c r="R42" s="25">
        <f t="shared" si="3"/>
        <v>0</v>
      </c>
    </row>
    <row r="43" spans="1:18" s="89" customFormat="1" ht="18.75" customHeight="1" x14ac:dyDescent="0.35">
      <c r="A43" s="14">
        <v>42</v>
      </c>
      <c r="B43" s="22" t="s">
        <v>98</v>
      </c>
      <c r="C43" s="22" t="s">
        <v>154</v>
      </c>
      <c r="D43" s="22" t="s">
        <v>155</v>
      </c>
      <c r="E43" s="22" t="s">
        <v>142</v>
      </c>
      <c r="F43" s="22" t="s">
        <v>156</v>
      </c>
      <c r="G43" s="22" t="s">
        <v>23</v>
      </c>
      <c r="H43" s="26">
        <v>30</v>
      </c>
      <c r="I43" s="111" t="s">
        <v>1421</v>
      </c>
      <c r="J43" s="22" t="s">
        <v>24</v>
      </c>
      <c r="K43" s="22" t="s">
        <v>51</v>
      </c>
      <c r="L43" s="24">
        <v>10</v>
      </c>
      <c r="M43" s="25">
        <f t="shared" si="7"/>
        <v>75000</v>
      </c>
      <c r="N43" s="25">
        <f t="shared" si="1"/>
        <v>750000</v>
      </c>
      <c r="O43" s="25">
        <f>M43*2</f>
        <v>150000</v>
      </c>
      <c r="P43" s="25">
        <f>M43*8*0.8</f>
        <v>480000</v>
      </c>
      <c r="Q43" s="25">
        <f>P43/70</f>
        <v>6857.1428571428569</v>
      </c>
      <c r="R43" s="25">
        <f t="shared" si="3"/>
        <v>27428.571428571428</v>
      </c>
    </row>
    <row r="44" spans="1:18" s="89" customFormat="1" ht="18.75" customHeight="1" x14ac:dyDescent="0.35">
      <c r="A44" s="14">
        <v>43</v>
      </c>
      <c r="B44" s="22" t="s">
        <v>98</v>
      </c>
      <c r="C44" s="22" t="s">
        <v>157</v>
      </c>
      <c r="D44" s="22" t="s">
        <v>158</v>
      </c>
      <c r="E44" s="22" t="s">
        <v>122</v>
      </c>
      <c r="F44" s="22" t="s">
        <v>159</v>
      </c>
      <c r="G44" s="22" t="s">
        <v>84</v>
      </c>
      <c r="H44" s="23">
        <v>0.05</v>
      </c>
      <c r="I44" s="22" t="s">
        <v>1422</v>
      </c>
      <c r="J44" s="22" t="s">
        <v>89</v>
      </c>
      <c r="K44" s="22" t="s">
        <v>51</v>
      </c>
      <c r="L44" s="24">
        <v>5</v>
      </c>
      <c r="M44" s="21">
        <f>H44*10000</f>
        <v>500</v>
      </c>
      <c r="N44" s="21">
        <f t="shared" si="1"/>
        <v>2500</v>
      </c>
      <c r="O44" s="21">
        <f>M44*L44</f>
        <v>2500</v>
      </c>
      <c r="P44" s="25">
        <f>N44-O44</f>
        <v>0</v>
      </c>
      <c r="Q44" s="25">
        <f>P44/60</f>
        <v>0</v>
      </c>
      <c r="R44" s="25">
        <f t="shared" si="3"/>
        <v>0</v>
      </c>
    </row>
    <row r="45" spans="1:18" s="89" customFormat="1" ht="18.75" customHeight="1" x14ac:dyDescent="0.35">
      <c r="A45" s="14">
        <v>44</v>
      </c>
      <c r="B45" s="22" t="s">
        <v>98</v>
      </c>
      <c r="C45" s="22" t="s">
        <v>160</v>
      </c>
      <c r="D45" s="22" t="s">
        <v>161</v>
      </c>
      <c r="E45" s="22" t="s">
        <v>122</v>
      </c>
      <c r="F45" s="22" t="s">
        <v>159</v>
      </c>
      <c r="G45" s="22" t="s">
        <v>84</v>
      </c>
      <c r="H45" s="23">
        <v>0.05</v>
      </c>
      <c r="I45" s="111" t="s">
        <v>1423</v>
      </c>
      <c r="J45" s="22" t="s">
        <v>89</v>
      </c>
      <c r="K45" s="22" t="s">
        <v>51</v>
      </c>
      <c r="L45" s="24">
        <v>5</v>
      </c>
      <c r="M45" s="21">
        <f>H45*10000</f>
        <v>500</v>
      </c>
      <c r="N45" s="21">
        <f t="shared" si="1"/>
        <v>2500</v>
      </c>
      <c r="O45" s="21">
        <f>M45*L45</f>
        <v>2500</v>
      </c>
      <c r="P45" s="25">
        <f>N45-O45</f>
        <v>0</v>
      </c>
      <c r="Q45" s="25">
        <f>P45/60</f>
        <v>0</v>
      </c>
      <c r="R45" s="25">
        <f t="shared" si="3"/>
        <v>0</v>
      </c>
    </row>
    <row r="46" spans="1:18" s="89" customFormat="1" ht="18.75" customHeight="1" x14ac:dyDescent="0.35">
      <c r="A46" s="14">
        <v>45</v>
      </c>
      <c r="B46" s="22" t="s">
        <v>98</v>
      </c>
      <c r="C46" s="22" t="s">
        <v>162</v>
      </c>
      <c r="D46" s="22" t="s">
        <v>161</v>
      </c>
      <c r="E46" s="22" t="s">
        <v>163</v>
      </c>
      <c r="F46" s="22" t="s">
        <v>164</v>
      </c>
      <c r="G46" s="22" t="s">
        <v>23</v>
      </c>
      <c r="H46" s="23">
        <v>6.7</v>
      </c>
      <c r="I46" s="111" t="s">
        <v>1424</v>
      </c>
      <c r="J46" s="22" t="s">
        <v>30</v>
      </c>
      <c r="K46" s="22" t="s">
        <v>35</v>
      </c>
      <c r="L46" s="24">
        <v>12</v>
      </c>
      <c r="M46" s="25">
        <f t="shared" ref="M46:M52" si="8">H46*10000*0.25</f>
        <v>16750</v>
      </c>
      <c r="N46" s="25">
        <f t="shared" si="1"/>
        <v>201000</v>
      </c>
      <c r="O46" s="25">
        <f>M46*3</f>
        <v>50250</v>
      </c>
      <c r="P46" s="25">
        <f>M46*10*0.8</f>
        <v>134000</v>
      </c>
      <c r="Q46" s="25">
        <f>P46/70</f>
        <v>1914.2857142857142</v>
      </c>
      <c r="R46" s="25">
        <f t="shared" si="3"/>
        <v>7657.1428571428569</v>
      </c>
    </row>
    <row r="47" spans="1:18" s="89" customFormat="1" ht="18.75" customHeight="1" x14ac:dyDescent="0.35">
      <c r="A47" s="14">
        <v>46</v>
      </c>
      <c r="B47" s="22" t="s">
        <v>98</v>
      </c>
      <c r="C47" s="22" t="s">
        <v>165</v>
      </c>
      <c r="D47" s="22" t="s">
        <v>124</v>
      </c>
      <c r="E47" s="22" t="s">
        <v>101</v>
      </c>
      <c r="F47" s="22" t="s">
        <v>166</v>
      </c>
      <c r="G47" s="22" t="s">
        <v>29</v>
      </c>
      <c r="H47" s="23">
        <v>2.2999999999999998</v>
      </c>
      <c r="I47" s="111" t="s">
        <v>1425</v>
      </c>
      <c r="J47" s="22" t="s">
        <v>89</v>
      </c>
      <c r="K47" s="22" t="s">
        <v>35</v>
      </c>
      <c r="L47" s="24">
        <v>2</v>
      </c>
      <c r="M47" s="25">
        <f t="shared" si="8"/>
        <v>5750</v>
      </c>
      <c r="N47" s="25">
        <f t="shared" si="1"/>
        <v>11500</v>
      </c>
      <c r="O47" s="25">
        <f>M47*2</f>
        <v>11500</v>
      </c>
      <c r="P47" s="25">
        <f>N47-O47</f>
        <v>0</v>
      </c>
      <c r="Q47" s="25">
        <v>0</v>
      </c>
      <c r="R47" s="25">
        <v>0</v>
      </c>
    </row>
    <row r="48" spans="1:18" s="89" customFormat="1" ht="18.75" customHeight="1" x14ac:dyDescent="0.35">
      <c r="A48" s="14">
        <v>47</v>
      </c>
      <c r="B48" s="22" t="s">
        <v>98</v>
      </c>
      <c r="C48" s="22" t="s">
        <v>167</v>
      </c>
      <c r="D48" s="22" t="s">
        <v>168</v>
      </c>
      <c r="E48" s="22" t="s">
        <v>163</v>
      </c>
      <c r="F48" s="22" t="s">
        <v>169</v>
      </c>
      <c r="G48" s="22" t="s">
        <v>23</v>
      </c>
      <c r="H48" s="23">
        <v>23.7</v>
      </c>
      <c r="I48" s="111" t="s">
        <v>1426</v>
      </c>
      <c r="J48" s="22" t="s">
        <v>24</v>
      </c>
      <c r="K48" s="22" t="s">
        <v>35</v>
      </c>
      <c r="L48" s="24">
        <v>10</v>
      </c>
      <c r="M48" s="25">
        <f t="shared" si="8"/>
        <v>59250</v>
      </c>
      <c r="N48" s="25">
        <f t="shared" si="1"/>
        <v>592500</v>
      </c>
      <c r="O48" s="25">
        <f>M48*3</f>
        <v>177750</v>
      </c>
      <c r="P48" s="25">
        <f>M48*8*0.8</f>
        <v>379200</v>
      </c>
      <c r="Q48" s="25">
        <f>P48/70</f>
        <v>5417.1428571428569</v>
      </c>
      <c r="R48" s="25">
        <f>Q48*4</f>
        <v>21668.571428571428</v>
      </c>
    </row>
    <row r="49" spans="1:23" s="117" customFormat="1" ht="18.75" customHeight="1" x14ac:dyDescent="0.35">
      <c r="A49" s="112">
        <v>48</v>
      </c>
      <c r="B49" s="113" t="s">
        <v>98</v>
      </c>
      <c r="C49" s="113" t="s">
        <v>170</v>
      </c>
      <c r="D49" s="113" t="s">
        <v>168</v>
      </c>
      <c r="E49" s="113" t="s">
        <v>163</v>
      </c>
      <c r="F49" s="113" t="s">
        <v>169</v>
      </c>
      <c r="G49" s="113" t="s">
        <v>23</v>
      </c>
      <c r="H49" s="114">
        <v>17.3</v>
      </c>
      <c r="I49" s="118" t="s">
        <v>171</v>
      </c>
      <c r="J49" s="113" t="s">
        <v>30</v>
      </c>
      <c r="K49" s="113" t="s">
        <v>35</v>
      </c>
      <c r="L49" s="115">
        <v>10</v>
      </c>
      <c r="M49" s="116">
        <f t="shared" si="8"/>
        <v>43250</v>
      </c>
      <c r="N49" s="116">
        <f t="shared" si="1"/>
        <v>432500</v>
      </c>
      <c r="O49" s="116">
        <f>M49*3</f>
        <v>129750</v>
      </c>
      <c r="P49" s="116">
        <f>M49*13*0.8</f>
        <v>449800</v>
      </c>
      <c r="Q49" s="116">
        <f>P49/70</f>
        <v>6425.7142857142853</v>
      </c>
      <c r="R49" s="116">
        <f>Q49*4</f>
        <v>25702.857142857141</v>
      </c>
    </row>
    <row r="50" spans="1:23" s="89" customFormat="1" ht="18.75" customHeight="1" x14ac:dyDescent="0.35">
      <c r="A50" s="14">
        <v>49</v>
      </c>
      <c r="B50" s="22" t="s">
        <v>98</v>
      </c>
      <c r="C50" s="22" t="s">
        <v>172</v>
      </c>
      <c r="D50" s="22" t="s">
        <v>134</v>
      </c>
      <c r="E50" s="22" t="s">
        <v>163</v>
      </c>
      <c r="F50" s="22" t="s">
        <v>173</v>
      </c>
      <c r="G50" s="22" t="s">
        <v>23</v>
      </c>
      <c r="H50" s="23">
        <v>0.7</v>
      </c>
      <c r="I50" s="111" t="s">
        <v>1427</v>
      </c>
      <c r="J50" s="22" t="s">
        <v>30</v>
      </c>
      <c r="K50" s="22" t="s">
        <v>35</v>
      </c>
      <c r="L50" s="24">
        <v>13</v>
      </c>
      <c r="M50" s="25">
        <f t="shared" si="8"/>
        <v>1750</v>
      </c>
      <c r="N50" s="25">
        <f t="shared" si="1"/>
        <v>22750</v>
      </c>
      <c r="O50" s="25">
        <f>M50*3</f>
        <v>5250</v>
      </c>
      <c r="P50" s="25">
        <f>M50*10*0.8</f>
        <v>14000</v>
      </c>
      <c r="Q50" s="25">
        <f>P50/70</f>
        <v>200</v>
      </c>
      <c r="R50" s="25">
        <f>Q50*4</f>
        <v>800</v>
      </c>
    </row>
    <row r="51" spans="1:23" s="89" customFormat="1" ht="18.75" customHeight="1" x14ac:dyDescent="0.35">
      <c r="A51" s="14">
        <v>50</v>
      </c>
      <c r="B51" s="22" t="s">
        <v>98</v>
      </c>
      <c r="C51" s="22" t="s">
        <v>174</v>
      </c>
      <c r="D51" s="22" t="s">
        <v>175</v>
      </c>
      <c r="E51" s="22" t="s">
        <v>163</v>
      </c>
      <c r="F51" s="22" t="s">
        <v>173</v>
      </c>
      <c r="G51" s="22" t="s">
        <v>23</v>
      </c>
      <c r="H51" s="23">
        <v>1.2</v>
      </c>
      <c r="I51" s="111" t="s">
        <v>1428</v>
      </c>
      <c r="J51" s="22" t="s">
        <v>30</v>
      </c>
      <c r="K51" s="22" t="s">
        <v>35</v>
      </c>
      <c r="L51" s="24">
        <v>13</v>
      </c>
      <c r="M51" s="25">
        <f t="shared" si="8"/>
        <v>3000</v>
      </c>
      <c r="N51" s="25">
        <f t="shared" si="1"/>
        <v>39000</v>
      </c>
      <c r="O51" s="25">
        <f>M51*3</f>
        <v>9000</v>
      </c>
      <c r="P51" s="25">
        <f>M51*1*0.8</f>
        <v>2400</v>
      </c>
      <c r="Q51" s="25">
        <f>P51/70</f>
        <v>34.285714285714285</v>
      </c>
      <c r="R51" s="25">
        <f>Q51*4</f>
        <v>137.14285714285714</v>
      </c>
    </row>
    <row r="52" spans="1:23" s="89" customFormat="1" ht="18.75" customHeight="1" x14ac:dyDescent="0.35">
      <c r="A52" s="14">
        <v>51</v>
      </c>
      <c r="B52" s="22" t="s">
        <v>98</v>
      </c>
      <c r="C52" s="22" t="s">
        <v>176</v>
      </c>
      <c r="D52" s="22" t="s">
        <v>175</v>
      </c>
      <c r="E52" s="22" t="s">
        <v>163</v>
      </c>
      <c r="F52" s="22" t="s">
        <v>173</v>
      </c>
      <c r="G52" s="22" t="s">
        <v>23</v>
      </c>
      <c r="H52" s="27">
        <v>12.8</v>
      </c>
      <c r="I52" s="92" t="s">
        <v>1429</v>
      </c>
      <c r="J52" s="22" t="s">
        <v>30</v>
      </c>
      <c r="K52" s="22" t="s">
        <v>35</v>
      </c>
      <c r="L52" s="24">
        <v>10</v>
      </c>
      <c r="M52" s="25">
        <f t="shared" si="8"/>
        <v>32000</v>
      </c>
      <c r="N52" s="25">
        <f t="shared" si="1"/>
        <v>320000</v>
      </c>
      <c r="O52" s="25">
        <f>M52*3</f>
        <v>96000</v>
      </c>
      <c r="P52" s="25">
        <f>M52*8*0.8</f>
        <v>204800</v>
      </c>
      <c r="Q52" s="25">
        <f>P52/70</f>
        <v>2925.7142857142858</v>
      </c>
      <c r="R52" s="25">
        <f>Q52*4</f>
        <v>11702.857142857143</v>
      </c>
    </row>
    <row r="53" spans="1:23" s="89" customFormat="1" ht="18.75" customHeight="1" x14ac:dyDescent="0.35">
      <c r="A53" s="14">
        <v>52</v>
      </c>
      <c r="B53" s="22" t="s">
        <v>98</v>
      </c>
      <c r="C53" s="22" t="s">
        <v>177</v>
      </c>
      <c r="D53" s="22" t="s">
        <v>153</v>
      </c>
      <c r="E53" s="22" t="s">
        <v>122</v>
      </c>
      <c r="F53" s="22" t="s">
        <v>151</v>
      </c>
      <c r="G53" s="22" t="s">
        <v>84</v>
      </c>
      <c r="H53" s="23">
        <v>0.05</v>
      </c>
      <c r="I53" s="111" t="s">
        <v>1430</v>
      </c>
      <c r="J53" s="22" t="s">
        <v>117</v>
      </c>
      <c r="K53" s="22" t="s">
        <v>51</v>
      </c>
      <c r="L53" s="24">
        <v>5</v>
      </c>
      <c r="M53" s="21">
        <f>H53*10000</f>
        <v>500</v>
      </c>
      <c r="N53" s="21">
        <f t="shared" si="1"/>
        <v>2500</v>
      </c>
      <c r="O53" s="21">
        <f>M53*L53</f>
        <v>2500</v>
      </c>
      <c r="P53" s="25">
        <v>0</v>
      </c>
      <c r="Q53" s="25">
        <v>0</v>
      </c>
      <c r="R53" s="25">
        <v>0</v>
      </c>
    </row>
    <row r="54" spans="1:23" s="89" customFormat="1" ht="18.75" customHeight="1" x14ac:dyDescent="0.35">
      <c r="A54" s="14">
        <v>53</v>
      </c>
      <c r="B54" s="22" t="s">
        <v>98</v>
      </c>
      <c r="C54" s="22" t="s">
        <v>178</v>
      </c>
      <c r="D54" s="22" t="s">
        <v>153</v>
      </c>
      <c r="E54" s="20" t="s">
        <v>179</v>
      </c>
      <c r="F54" s="22" t="s">
        <v>180</v>
      </c>
      <c r="G54" s="22" t="s">
        <v>113</v>
      </c>
      <c r="H54" s="23">
        <v>0.08</v>
      </c>
      <c r="I54" s="111" t="s">
        <v>1431</v>
      </c>
      <c r="J54" s="22" t="s">
        <v>89</v>
      </c>
      <c r="K54" s="22" t="s">
        <v>35</v>
      </c>
      <c r="L54" s="24">
        <v>4</v>
      </c>
      <c r="M54" s="25">
        <f>H54*10000*0.25</f>
        <v>200</v>
      </c>
      <c r="N54" s="25">
        <f t="shared" si="1"/>
        <v>800</v>
      </c>
      <c r="O54" s="25">
        <f>M54*L54</f>
        <v>800</v>
      </c>
      <c r="P54" s="25">
        <v>0</v>
      </c>
      <c r="Q54" s="25">
        <v>0</v>
      </c>
      <c r="R54" s="25">
        <v>0</v>
      </c>
    </row>
    <row r="55" spans="1:23" s="89" customFormat="1" ht="18.75" customHeight="1" x14ac:dyDescent="0.35">
      <c r="A55" s="14">
        <v>54</v>
      </c>
      <c r="B55" s="22" t="s">
        <v>98</v>
      </c>
      <c r="C55" s="22" t="s">
        <v>181</v>
      </c>
      <c r="D55" s="22" t="s">
        <v>134</v>
      </c>
      <c r="E55" s="22" t="s">
        <v>163</v>
      </c>
      <c r="F55" s="22" t="s">
        <v>182</v>
      </c>
      <c r="G55" s="22" t="s">
        <v>23</v>
      </c>
      <c r="H55" s="23">
        <v>14.1989</v>
      </c>
      <c r="I55" s="111" t="s">
        <v>1432</v>
      </c>
      <c r="J55" s="22" t="s">
        <v>30</v>
      </c>
      <c r="K55" s="22" t="s">
        <v>35</v>
      </c>
      <c r="L55" s="24">
        <v>10</v>
      </c>
      <c r="M55" s="25">
        <f>H55*10000*0.25</f>
        <v>35497.25</v>
      </c>
      <c r="N55" s="25">
        <f t="shared" si="1"/>
        <v>354972.5</v>
      </c>
      <c r="O55" s="25">
        <f>M55*3</f>
        <v>106491.75</v>
      </c>
      <c r="P55" s="25">
        <f>M55*8*0.8</f>
        <v>227182.40000000002</v>
      </c>
      <c r="Q55" s="25">
        <f>P55/70</f>
        <v>3245.4628571428575</v>
      </c>
      <c r="R55" s="25">
        <f>Q55*4</f>
        <v>12981.85142857143</v>
      </c>
    </row>
    <row r="56" spans="1:23" s="89" customFormat="1" ht="18.75" customHeight="1" x14ac:dyDescent="0.35">
      <c r="A56" s="14">
        <v>55</v>
      </c>
      <c r="B56" s="22" t="s">
        <v>98</v>
      </c>
      <c r="C56" s="22" t="s">
        <v>183</v>
      </c>
      <c r="D56" s="22" t="s">
        <v>184</v>
      </c>
      <c r="E56" s="20" t="s">
        <v>185</v>
      </c>
      <c r="F56" s="22" t="s">
        <v>186</v>
      </c>
      <c r="G56" s="22" t="s">
        <v>187</v>
      </c>
      <c r="H56" s="23">
        <v>0.94464000000000004</v>
      </c>
      <c r="I56" s="111" t="s">
        <v>1433</v>
      </c>
      <c r="J56" s="22" t="s">
        <v>24</v>
      </c>
      <c r="K56" s="22" t="s">
        <v>51</v>
      </c>
      <c r="L56" s="24">
        <v>5</v>
      </c>
      <c r="M56" s="25">
        <f>H56*10000*0.25</f>
        <v>2361.6</v>
      </c>
      <c r="N56" s="25">
        <f t="shared" si="1"/>
        <v>11808</v>
      </c>
      <c r="O56" s="25">
        <f>M56*5</f>
        <v>11808</v>
      </c>
      <c r="P56" s="25" t="s">
        <v>188</v>
      </c>
      <c r="Q56" s="25" t="s">
        <v>188</v>
      </c>
      <c r="R56" s="25" t="s">
        <v>188</v>
      </c>
    </row>
    <row r="57" spans="1:23" s="89" customFormat="1" ht="18.75" customHeight="1" x14ac:dyDescent="0.35">
      <c r="A57" s="14">
        <v>56</v>
      </c>
      <c r="B57" s="22" t="s">
        <v>98</v>
      </c>
      <c r="C57" s="22" t="s">
        <v>189</v>
      </c>
      <c r="D57" s="22" t="s">
        <v>190</v>
      </c>
      <c r="E57" s="20" t="s">
        <v>191</v>
      </c>
      <c r="F57" s="22" t="s">
        <v>182</v>
      </c>
      <c r="G57" s="22" t="s">
        <v>23</v>
      </c>
      <c r="H57" s="23">
        <v>3.2869999999999999</v>
      </c>
      <c r="I57" s="111" t="s">
        <v>1434</v>
      </c>
      <c r="J57" s="22" t="s">
        <v>30</v>
      </c>
      <c r="K57" s="22" t="s">
        <v>35</v>
      </c>
      <c r="L57" s="24">
        <v>7</v>
      </c>
      <c r="M57" s="25">
        <f>H57*10000*0.25</f>
        <v>8217.5</v>
      </c>
      <c r="N57" s="25">
        <f t="shared" si="1"/>
        <v>57522.5</v>
      </c>
      <c r="O57" s="25">
        <f>M57*3</f>
        <v>24652.5</v>
      </c>
      <c r="P57" s="25">
        <f>M57*7*0.8</f>
        <v>46018</v>
      </c>
      <c r="Q57" s="25">
        <f>P57/70</f>
        <v>657.4</v>
      </c>
      <c r="R57" s="25">
        <f t="shared" ref="R57" si="9">Q57*4</f>
        <v>2629.6</v>
      </c>
    </row>
    <row r="58" spans="1:23" s="1" customFormat="1" ht="18.75" customHeight="1" x14ac:dyDescent="0.35">
      <c r="A58" s="14">
        <v>58</v>
      </c>
      <c r="B58" s="22" t="s">
        <v>98</v>
      </c>
      <c r="C58" s="22" t="s">
        <v>192</v>
      </c>
      <c r="D58" s="22" t="s">
        <v>193</v>
      </c>
      <c r="E58" s="22" t="s">
        <v>194</v>
      </c>
      <c r="F58" s="22" t="s">
        <v>195</v>
      </c>
      <c r="G58" s="22" t="s">
        <v>23</v>
      </c>
      <c r="H58" s="26">
        <v>430</v>
      </c>
      <c r="I58" s="111" t="s">
        <v>1439</v>
      </c>
      <c r="J58" s="22" t="s">
        <v>24</v>
      </c>
      <c r="K58" s="22" t="s">
        <v>35</v>
      </c>
      <c r="L58" s="24">
        <v>13</v>
      </c>
      <c r="M58" s="25">
        <f>330*10000*25%</f>
        <v>825000</v>
      </c>
      <c r="N58" s="25">
        <f t="shared" ref="N34:N58" si="10">M58*L58</f>
        <v>10725000</v>
      </c>
      <c r="O58" s="25">
        <f>M58*5</f>
        <v>4125000</v>
      </c>
      <c r="P58" s="25">
        <f>M58*10*0.8</f>
        <v>6600000</v>
      </c>
      <c r="Q58" s="25">
        <f>P58/70</f>
        <v>94285.71428571429</v>
      </c>
      <c r="R58" s="25">
        <f t="shared" ref="R57:R120" si="11">Q58*4</f>
        <v>377142.85714285716</v>
      </c>
      <c r="S58" s="13"/>
      <c r="T58" s="13"/>
      <c r="U58" s="13"/>
      <c r="V58" s="13"/>
      <c r="W58" s="13"/>
    </row>
    <row r="59" spans="1:23" s="1" customFormat="1" ht="18.75" customHeight="1" x14ac:dyDescent="0.35">
      <c r="A59" s="14">
        <v>59</v>
      </c>
      <c r="B59" s="28" t="s">
        <v>196</v>
      </c>
      <c r="C59" s="28" t="s">
        <v>197</v>
      </c>
      <c r="D59" s="28" t="s">
        <v>198</v>
      </c>
      <c r="E59" s="28" t="s">
        <v>199</v>
      </c>
      <c r="F59" s="28" t="s">
        <v>200</v>
      </c>
      <c r="G59" s="28" t="s">
        <v>23</v>
      </c>
      <c r="H59" s="29">
        <v>14.3</v>
      </c>
      <c r="I59" s="119" t="s">
        <v>1440</v>
      </c>
      <c r="J59" s="28" t="s">
        <v>30</v>
      </c>
      <c r="K59" s="28" t="s">
        <v>51</v>
      </c>
      <c r="L59" s="17">
        <v>13</v>
      </c>
      <c r="M59" s="30">
        <f t="shared" ref="M59:M103" si="12">H59*10000*0.25</f>
        <v>35750</v>
      </c>
      <c r="N59" s="30">
        <f>M59*13</f>
        <v>464750</v>
      </c>
      <c r="O59" s="30">
        <f>M59*3</f>
        <v>107250</v>
      </c>
      <c r="P59" s="30">
        <f>M59*10*0.8</f>
        <v>286000</v>
      </c>
      <c r="Q59" s="30">
        <f>P59/65</f>
        <v>4400</v>
      </c>
      <c r="R59" s="30">
        <f t="shared" si="11"/>
        <v>17600</v>
      </c>
      <c r="S59" s="13"/>
      <c r="T59" s="13"/>
      <c r="U59" s="13"/>
      <c r="V59" s="13"/>
      <c r="W59" s="13"/>
    </row>
    <row r="60" spans="1:23" s="1" customFormat="1" ht="18.75" customHeight="1" x14ac:dyDescent="0.35">
      <c r="A60" s="14">
        <v>60</v>
      </c>
      <c r="B60" s="28" t="s">
        <v>196</v>
      </c>
      <c r="C60" s="28" t="s">
        <v>201</v>
      </c>
      <c r="D60" s="28" t="s">
        <v>198</v>
      </c>
      <c r="E60" s="28" t="s">
        <v>199</v>
      </c>
      <c r="F60" s="28" t="s">
        <v>202</v>
      </c>
      <c r="G60" s="28" t="s">
        <v>23</v>
      </c>
      <c r="H60" s="31">
        <v>11.7</v>
      </c>
      <c r="I60" s="119" t="s">
        <v>1441</v>
      </c>
      <c r="J60" s="28" t="s">
        <v>24</v>
      </c>
      <c r="K60" s="28" t="s">
        <v>51</v>
      </c>
      <c r="L60" s="17">
        <v>10</v>
      </c>
      <c r="M60" s="21">
        <f t="shared" si="12"/>
        <v>29250</v>
      </c>
      <c r="N60" s="21">
        <f>M60*L60</f>
        <v>292500</v>
      </c>
      <c r="O60" s="21">
        <f>M60*2</f>
        <v>58500</v>
      </c>
      <c r="P60" s="21">
        <f>M60*8*0.8</f>
        <v>187200</v>
      </c>
      <c r="Q60" s="21">
        <f t="shared" ref="Q60:Q70" si="13">P60/70</f>
        <v>2674.2857142857142</v>
      </c>
      <c r="R60" s="21">
        <f t="shared" si="11"/>
        <v>10697.142857142857</v>
      </c>
      <c r="S60" s="13"/>
      <c r="T60" s="13"/>
      <c r="U60" s="13"/>
      <c r="V60" s="13"/>
      <c r="W60" s="13"/>
    </row>
    <row r="61" spans="1:23" s="1" customFormat="1" ht="18.75" customHeight="1" x14ac:dyDescent="0.35">
      <c r="A61" s="14">
        <v>61</v>
      </c>
      <c r="B61" s="28" t="s">
        <v>196</v>
      </c>
      <c r="C61" s="28" t="s">
        <v>203</v>
      </c>
      <c r="D61" s="28" t="s">
        <v>204</v>
      </c>
      <c r="E61" s="28" t="s">
        <v>199</v>
      </c>
      <c r="F61" s="28" t="s">
        <v>205</v>
      </c>
      <c r="G61" s="28" t="s">
        <v>23</v>
      </c>
      <c r="H61" s="29">
        <v>89.7</v>
      </c>
      <c r="I61" s="119" t="s">
        <v>1442</v>
      </c>
      <c r="J61" s="28" t="s">
        <v>30</v>
      </c>
      <c r="K61" s="28" t="s">
        <v>51</v>
      </c>
      <c r="L61" s="17">
        <v>16</v>
      </c>
      <c r="M61" s="30">
        <f t="shared" si="12"/>
        <v>224250</v>
      </c>
      <c r="N61" s="30">
        <f>M61*16</f>
        <v>3588000</v>
      </c>
      <c r="O61" s="30">
        <f>M61*3</f>
        <v>672750</v>
      </c>
      <c r="P61" s="30">
        <f>M61*13*0.8</f>
        <v>2332200</v>
      </c>
      <c r="Q61" s="30">
        <f t="shared" si="13"/>
        <v>33317.142857142855</v>
      </c>
      <c r="R61" s="30">
        <f t="shared" si="11"/>
        <v>133268.57142857142</v>
      </c>
      <c r="S61" s="13"/>
      <c r="T61" s="13"/>
      <c r="U61" s="13"/>
      <c r="V61" s="13"/>
      <c r="W61" s="13"/>
    </row>
    <row r="62" spans="1:23" s="1" customFormat="1" ht="18.75" customHeight="1" x14ac:dyDescent="0.35">
      <c r="A62" s="14">
        <v>62</v>
      </c>
      <c r="B62" s="28" t="s">
        <v>196</v>
      </c>
      <c r="C62" s="28" t="s">
        <v>206</v>
      </c>
      <c r="D62" s="28" t="s">
        <v>207</v>
      </c>
      <c r="E62" s="28" t="s">
        <v>208</v>
      </c>
      <c r="F62" s="28" t="s">
        <v>209</v>
      </c>
      <c r="G62" s="28" t="s">
        <v>23</v>
      </c>
      <c r="H62" s="29">
        <v>80.400000000000006</v>
      </c>
      <c r="I62" s="119" t="s">
        <v>1443</v>
      </c>
      <c r="J62" s="28" t="s">
        <v>30</v>
      </c>
      <c r="K62" s="28" t="s">
        <v>51</v>
      </c>
      <c r="L62" s="17">
        <v>20</v>
      </c>
      <c r="M62" s="30">
        <f t="shared" si="12"/>
        <v>201000</v>
      </c>
      <c r="N62" s="30">
        <f>M62*20</f>
        <v>4020000</v>
      </c>
      <c r="O62" s="30">
        <f>M62*5</f>
        <v>1005000</v>
      </c>
      <c r="P62" s="30">
        <f>M62*15*0.8</f>
        <v>2412000</v>
      </c>
      <c r="Q62" s="30">
        <f t="shared" si="13"/>
        <v>34457.142857142855</v>
      </c>
      <c r="R62" s="30">
        <f t="shared" si="11"/>
        <v>137828.57142857142</v>
      </c>
      <c r="S62" s="32"/>
      <c r="T62" s="32"/>
      <c r="U62" s="33"/>
      <c r="V62" s="13"/>
      <c r="W62" s="33"/>
    </row>
    <row r="63" spans="1:23" s="1" customFormat="1" ht="18.75" customHeight="1" x14ac:dyDescent="0.35">
      <c r="A63" s="14">
        <v>63</v>
      </c>
      <c r="B63" s="28" t="s">
        <v>196</v>
      </c>
      <c r="C63" s="28" t="s">
        <v>206</v>
      </c>
      <c r="D63" s="28" t="s">
        <v>210</v>
      </c>
      <c r="E63" s="28" t="s">
        <v>211</v>
      </c>
      <c r="F63" s="28" t="s">
        <v>212</v>
      </c>
      <c r="G63" s="28" t="s">
        <v>23</v>
      </c>
      <c r="H63" s="34">
        <v>24</v>
      </c>
      <c r="I63" s="119" t="s">
        <v>1444</v>
      </c>
      <c r="J63" s="28" t="s">
        <v>30</v>
      </c>
      <c r="K63" s="28" t="s">
        <v>51</v>
      </c>
      <c r="L63" s="17">
        <v>13</v>
      </c>
      <c r="M63" s="30">
        <f t="shared" si="12"/>
        <v>60000</v>
      </c>
      <c r="N63" s="30">
        <f>M63*13</f>
        <v>780000</v>
      </c>
      <c r="O63" s="30">
        <f>M63*3</f>
        <v>180000</v>
      </c>
      <c r="P63" s="30">
        <f>M63*10*0.8</f>
        <v>480000</v>
      </c>
      <c r="Q63" s="30">
        <f t="shared" si="13"/>
        <v>6857.1428571428569</v>
      </c>
      <c r="R63" s="30">
        <f t="shared" si="11"/>
        <v>27428.571428571428</v>
      </c>
      <c r="S63" s="13"/>
      <c r="T63" s="13"/>
      <c r="U63" s="13"/>
      <c r="V63" s="13"/>
      <c r="W63" s="13"/>
    </row>
    <row r="64" spans="1:23" s="1" customFormat="1" ht="18.75" customHeight="1" x14ac:dyDescent="0.35">
      <c r="A64" s="14">
        <v>64</v>
      </c>
      <c r="B64" s="28" t="s">
        <v>196</v>
      </c>
      <c r="C64" s="28" t="s">
        <v>213</v>
      </c>
      <c r="D64" s="28" t="s">
        <v>214</v>
      </c>
      <c r="E64" s="35" t="s">
        <v>215</v>
      </c>
      <c r="F64" s="28" t="s">
        <v>216</v>
      </c>
      <c r="G64" s="28" t="s">
        <v>29</v>
      </c>
      <c r="H64" s="31">
        <v>17.3</v>
      </c>
      <c r="I64" s="119" t="s">
        <v>1445</v>
      </c>
      <c r="J64" s="28" t="s">
        <v>217</v>
      </c>
      <c r="K64" s="28" t="s">
        <v>51</v>
      </c>
      <c r="L64" s="17">
        <v>10</v>
      </c>
      <c r="M64" s="21">
        <f t="shared" si="12"/>
        <v>43250</v>
      </c>
      <c r="N64" s="21">
        <f t="shared" ref="N64:N84" si="14">M64*L64</f>
        <v>432500</v>
      </c>
      <c r="O64" s="21">
        <f>M64*2</f>
        <v>86500</v>
      </c>
      <c r="P64" s="21">
        <f>M64*8*0.8</f>
        <v>276800</v>
      </c>
      <c r="Q64" s="21">
        <f t="shared" si="13"/>
        <v>3954.2857142857142</v>
      </c>
      <c r="R64" s="21">
        <f t="shared" si="11"/>
        <v>15817.142857142857</v>
      </c>
      <c r="S64" s="13"/>
      <c r="T64" s="13"/>
      <c r="U64" s="13"/>
      <c r="V64" s="13"/>
      <c r="W64" s="13"/>
    </row>
    <row r="65" spans="1:23" s="1" customFormat="1" ht="18.75" customHeight="1" x14ac:dyDescent="0.35">
      <c r="A65" s="14">
        <v>65</v>
      </c>
      <c r="B65" s="28" t="s">
        <v>196</v>
      </c>
      <c r="C65" s="28" t="s">
        <v>213</v>
      </c>
      <c r="D65" s="28" t="s">
        <v>218</v>
      </c>
      <c r="E65" s="28" t="s">
        <v>219</v>
      </c>
      <c r="F65" s="28" t="s">
        <v>220</v>
      </c>
      <c r="G65" s="28" t="s">
        <v>29</v>
      </c>
      <c r="H65" s="34">
        <v>13</v>
      </c>
      <c r="I65" s="119" t="s">
        <v>1446</v>
      </c>
      <c r="J65" s="28" t="s">
        <v>217</v>
      </c>
      <c r="K65" s="28" t="s">
        <v>51</v>
      </c>
      <c r="L65" s="17">
        <v>9</v>
      </c>
      <c r="M65" s="30">
        <f t="shared" si="12"/>
        <v>32500</v>
      </c>
      <c r="N65" s="30">
        <f t="shared" si="14"/>
        <v>292500</v>
      </c>
      <c r="O65" s="30">
        <f>M65*L65</f>
        <v>292500</v>
      </c>
      <c r="P65" s="30">
        <v>0</v>
      </c>
      <c r="Q65" s="30">
        <f t="shared" si="13"/>
        <v>0</v>
      </c>
      <c r="R65" s="30">
        <f t="shared" si="11"/>
        <v>0</v>
      </c>
      <c r="S65" s="13"/>
      <c r="T65" s="13"/>
      <c r="U65" s="13"/>
      <c r="V65" s="13"/>
      <c r="W65" s="13"/>
    </row>
    <row r="66" spans="1:23" s="1" customFormat="1" ht="18.75" customHeight="1" x14ac:dyDescent="0.35">
      <c r="A66" s="14">
        <v>66</v>
      </c>
      <c r="B66" s="28" t="s">
        <v>196</v>
      </c>
      <c r="C66" s="28" t="s">
        <v>213</v>
      </c>
      <c r="D66" s="28" t="s">
        <v>221</v>
      </c>
      <c r="E66" s="28" t="s">
        <v>222</v>
      </c>
      <c r="F66" s="28" t="s">
        <v>223</v>
      </c>
      <c r="G66" s="28" t="s">
        <v>23</v>
      </c>
      <c r="H66" s="29">
        <v>41.6</v>
      </c>
      <c r="I66" s="119" t="s">
        <v>1447</v>
      </c>
      <c r="J66" s="28" t="s">
        <v>30</v>
      </c>
      <c r="K66" s="28" t="s">
        <v>51</v>
      </c>
      <c r="L66" s="17">
        <v>13</v>
      </c>
      <c r="M66" s="30">
        <f t="shared" si="12"/>
        <v>104000</v>
      </c>
      <c r="N66" s="30">
        <f t="shared" si="14"/>
        <v>1352000</v>
      </c>
      <c r="O66" s="30">
        <f>M66*3</f>
        <v>312000</v>
      </c>
      <c r="P66" s="30">
        <f>M66*10*0.8</f>
        <v>832000</v>
      </c>
      <c r="Q66" s="30">
        <f t="shared" si="13"/>
        <v>11885.714285714286</v>
      </c>
      <c r="R66" s="30">
        <f t="shared" si="11"/>
        <v>47542.857142857145</v>
      </c>
      <c r="S66" s="13"/>
      <c r="T66" s="13"/>
      <c r="U66" s="13"/>
      <c r="V66" s="13"/>
      <c r="W66" s="13"/>
    </row>
    <row r="67" spans="1:23" s="1" customFormat="1" ht="18.75" customHeight="1" x14ac:dyDescent="0.35">
      <c r="A67" s="14">
        <v>67</v>
      </c>
      <c r="B67" s="28" t="s">
        <v>196</v>
      </c>
      <c r="C67" s="28" t="s">
        <v>224</v>
      </c>
      <c r="D67" s="28" t="s">
        <v>218</v>
      </c>
      <c r="E67" s="28" t="s">
        <v>225</v>
      </c>
      <c r="F67" s="28" t="s">
        <v>226</v>
      </c>
      <c r="G67" s="28" t="s">
        <v>23</v>
      </c>
      <c r="H67" s="29">
        <v>0.3</v>
      </c>
      <c r="I67" s="119" t="s">
        <v>1448</v>
      </c>
      <c r="J67" s="28" t="s">
        <v>30</v>
      </c>
      <c r="K67" s="28" t="s">
        <v>51</v>
      </c>
      <c r="L67" s="17">
        <v>9</v>
      </c>
      <c r="M67" s="30">
        <f t="shared" si="12"/>
        <v>750</v>
      </c>
      <c r="N67" s="30">
        <f t="shared" si="14"/>
        <v>6750</v>
      </c>
      <c r="O67" s="30">
        <f>M67*2</f>
        <v>1500</v>
      </c>
      <c r="P67" s="30">
        <f>M67*7*0.8</f>
        <v>4200</v>
      </c>
      <c r="Q67" s="30">
        <f t="shared" si="13"/>
        <v>60</v>
      </c>
      <c r="R67" s="30">
        <f t="shared" si="11"/>
        <v>240</v>
      </c>
      <c r="S67" s="13"/>
      <c r="T67" s="13"/>
      <c r="U67" s="13"/>
      <c r="V67" s="13"/>
      <c r="W67" s="13"/>
    </row>
    <row r="68" spans="1:23" s="1" customFormat="1" ht="18.75" customHeight="1" x14ac:dyDescent="0.35">
      <c r="A68" s="14">
        <v>68</v>
      </c>
      <c r="B68" s="28" t="s">
        <v>196</v>
      </c>
      <c r="C68" s="28" t="s">
        <v>227</v>
      </c>
      <c r="D68" s="28" t="s">
        <v>218</v>
      </c>
      <c r="E68" s="28" t="s">
        <v>215</v>
      </c>
      <c r="F68" s="28" t="s">
        <v>226</v>
      </c>
      <c r="G68" s="28" t="s">
        <v>23</v>
      </c>
      <c r="H68" s="29">
        <v>1.3</v>
      </c>
      <c r="I68" s="119" t="s">
        <v>1449</v>
      </c>
      <c r="J68" s="28" t="s">
        <v>24</v>
      </c>
      <c r="K68" s="28" t="s">
        <v>35</v>
      </c>
      <c r="L68" s="17">
        <v>16</v>
      </c>
      <c r="M68" s="30">
        <f t="shared" si="12"/>
        <v>3250</v>
      </c>
      <c r="N68" s="30">
        <f t="shared" si="14"/>
        <v>52000</v>
      </c>
      <c r="O68" s="30">
        <f>M68*3</f>
        <v>9750</v>
      </c>
      <c r="P68" s="30">
        <f>M68*13*0.8</f>
        <v>33800</v>
      </c>
      <c r="Q68" s="30">
        <f t="shared" si="13"/>
        <v>482.85714285714283</v>
      </c>
      <c r="R68" s="30">
        <f t="shared" si="11"/>
        <v>1931.4285714285713</v>
      </c>
      <c r="S68" s="13"/>
      <c r="T68" s="13"/>
      <c r="U68" s="13"/>
      <c r="V68" s="13"/>
      <c r="W68" s="13"/>
    </row>
    <row r="69" spans="1:23" s="1" customFormat="1" ht="18.75" customHeight="1" x14ac:dyDescent="0.35">
      <c r="A69" s="14">
        <v>69</v>
      </c>
      <c r="B69" s="28" t="s">
        <v>196</v>
      </c>
      <c r="C69" s="28" t="s">
        <v>228</v>
      </c>
      <c r="D69" s="28" t="s">
        <v>218</v>
      </c>
      <c r="E69" s="28" t="s">
        <v>215</v>
      </c>
      <c r="F69" s="28" t="s">
        <v>229</v>
      </c>
      <c r="G69" s="28" t="s">
        <v>23</v>
      </c>
      <c r="H69" s="34">
        <v>2</v>
      </c>
      <c r="I69" s="119" t="s">
        <v>1450</v>
      </c>
      <c r="J69" s="28" t="s">
        <v>24</v>
      </c>
      <c r="K69" s="28" t="s">
        <v>35</v>
      </c>
      <c r="L69" s="17">
        <v>16</v>
      </c>
      <c r="M69" s="30">
        <f t="shared" si="12"/>
        <v>5000</v>
      </c>
      <c r="N69" s="30">
        <f t="shared" si="14"/>
        <v>80000</v>
      </c>
      <c r="O69" s="30">
        <f>M69*3</f>
        <v>15000</v>
      </c>
      <c r="P69" s="30">
        <f>M69*13*0.8</f>
        <v>52000</v>
      </c>
      <c r="Q69" s="30">
        <f t="shared" si="13"/>
        <v>742.85714285714289</v>
      </c>
      <c r="R69" s="30">
        <f t="shared" si="11"/>
        <v>2971.4285714285716</v>
      </c>
      <c r="S69" s="13"/>
      <c r="T69" s="13"/>
      <c r="U69" s="13"/>
      <c r="V69" s="13"/>
      <c r="W69" s="13"/>
    </row>
    <row r="70" spans="1:23" s="1" customFormat="1" ht="18.75" customHeight="1" x14ac:dyDescent="0.35">
      <c r="A70" s="14">
        <v>70</v>
      </c>
      <c r="B70" s="28" t="s">
        <v>196</v>
      </c>
      <c r="C70" s="28" t="s">
        <v>230</v>
      </c>
      <c r="D70" s="28" t="s">
        <v>218</v>
      </c>
      <c r="E70" s="35" t="s">
        <v>215</v>
      </c>
      <c r="F70" s="28" t="s">
        <v>212</v>
      </c>
      <c r="G70" s="28" t="s">
        <v>23</v>
      </c>
      <c r="H70" s="34">
        <v>22</v>
      </c>
      <c r="I70" s="119" t="s">
        <v>1451</v>
      </c>
      <c r="J70" s="28" t="s">
        <v>24</v>
      </c>
      <c r="K70" s="28" t="s">
        <v>35</v>
      </c>
      <c r="L70" s="17">
        <v>10</v>
      </c>
      <c r="M70" s="30">
        <f t="shared" si="12"/>
        <v>55000</v>
      </c>
      <c r="N70" s="30">
        <f t="shared" si="14"/>
        <v>550000</v>
      </c>
      <c r="O70" s="30">
        <f>M70*2</f>
        <v>110000</v>
      </c>
      <c r="P70" s="30">
        <f>M70*8*0.8</f>
        <v>352000</v>
      </c>
      <c r="Q70" s="30">
        <f t="shared" si="13"/>
        <v>5028.5714285714284</v>
      </c>
      <c r="R70" s="30">
        <f t="shared" si="11"/>
        <v>20114.285714285714</v>
      </c>
      <c r="S70" s="13"/>
      <c r="T70" s="13"/>
      <c r="U70" s="13"/>
      <c r="V70" s="13"/>
      <c r="W70" s="13"/>
    </row>
    <row r="71" spans="1:23" s="1" customFormat="1" ht="18.75" customHeight="1" x14ac:dyDescent="0.35">
      <c r="A71" s="14">
        <v>71</v>
      </c>
      <c r="B71" s="28" t="s">
        <v>196</v>
      </c>
      <c r="C71" s="28" t="s">
        <v>230</v>
      </c>
      <c r="D71" s="28" t="s">
        <v>218</v>
      </c>
      <c r="E71" s="35" t="s">
        <v>215</v>
      </c>
      <c r="F71" s="28" t="s">
        <v>231</v>
      </c>
      <c r="G71" s="28" t="s">
        <v>113</v>
      </c>
      <c r="H71" s="29">
        <v>1.45</v>
      </c>
      <c r="I71" s="119" t="s">
        <v>1452</v>
      </c>
      <c r="J71" s="28" t="s">
        <v>217</v>
      </c>
      <c r="K71" s="28" t="s">
        <v>35</v>
      </c>
      <c r="L71" s="17">
        <v>16</v>
      </c>
      <c r="M71" s="21">
        <f t="shared" si="12"/>
        <v>3625</v>
      </c>
      <c r="N71" s="21">
        <f t="shared" si="14"/>
        <v>58000</v>
      </c>
      <c r="O71" s="21">
        <f>M71*L71</f>
        <v>58000</v>
      </c>
      <c r="P71" s="21">
        <v>0</v>
      </c>
      <c r="Q71" s="21">
        <v>0</v>
      </c>
      <c r="R71" s="21">
        <f t="shared" si="11"/>
        <v>0</v>
      </c>
      <c r="S71" s="13"/>
      <c r="T71" s="13"/>
      <c r="U71" s="13"/>
      <c r="V71" s="13"/>
      <c r="W71" s="13"/>
    </row>
    <row r="72" spans="1:23" s="1" customFormat="1" ht="18.75" customHeight="1" x14ac:dyDescent="0.35">
      <c r="A72" s="14">
        <v>72</v>
      </c>
      <c r="B72" s="28" t="s">
        <v>196</v>
      </c>
      <c r="C72" s="28" t="s">
        <v>232</v>
      </c>
      <c r="D72" s="28" t="s">
        <v>233</v>
      </c>
      <c r="E72" s="28" t="s">
        <v>215</v>
      </c>
      <c r="F72" s="28" t="s">
        <v>234</v>
      </c>
      <c r="G72" s="28" t="s">
        <v>23</v>
      </c>
      <c r="H72" s="34">
        <v>70</v>
      </c>
      <c r="I72" s="119" t="s">
        <v>1453</v>
      </c>
      <c r="J72" s="28" t="s">
        <v>24</v>
      </c>
      <c r="K72" s="28" t="s">
        <v>51</v>
      </c>
      <c r="L72" s="17">
        <v>13</v>
      </c>
      <c r="M72" s="30">
        <f t="shared" si="12"/>
        <v>175000</v>
      </c>
      <c r="N72" s="30">
        <f t="shared" si="14"/>
        <v>2275000</v>
      </c>
      <c r="O72" s="30">
        <f>M72*3</f>
        <v>525000</v>
      </c>
      <c r="P72" s="30">
        <f>M72*10*0.8</f>
        <v>1400000</v>
      </c>
      <c r="Q72" s="30">
        <f t="shared" ref="Q72:Q135" si="15">P72/70</f>
        <v>20000</v>
      </c>
      <c r="R72" s="30">
        <f t="shared" si="11"/>
        <v>80000</v>
      </c>
      <c r="S72" s="13"/>
      <c r="T72" s="13"/>
      <c r="U72" s="13"/>
      <c r="V72" s="13"/>
      <c r="W72" s="13"/>
    </row>
    <row r="73" spans="1:23" s="1" customFormat="1" ht="18.75" customHeight="1" x14ac:dyDescent="0.35">
      <c r="A73" s="14">
        <v>73</v>
      </c>
      <c r="B73" s="28" t="s">
        <v>196</v>
      </c>
      <c r="C73" s="28" t="s">
        <v>235</v>
      </c>
      <c r="D73" s="28" t="s">
        <v>236</v>
      </c>
      <c r="E73" s="28" t="s">
        <v>222</v>
      </c>
      <c r="F73" s="28" t="s">
        <v>212</v>
      </c>
      <c r="G73" s="28" t="s">
        <v>23</v>
      </c>
      <c r="H73" s="34">
        <v>32</v>
      </c>
      <c r="I73" s="119" t="s">
        <v>1454</v>
      </c>
      <c r="J73" s="28" t="s">
        <v>30</v>
      </c>
      <c r="K73" s="28" t="s">
        <v>25</v>
      </c>
      <c r="L73" s="17">
        <v>13</v>
      </c>
      <c r="M73" s="30">
        <f t="shared" si="12"/>
        <v>80000</v>
      </c>
      <c r="N73" s="30">
        <f t="shared" si="14"/>
        <v>1040000</v>
      </c>
      <c r="O73" s="30">
        <f>M73*3</f>
        <v>240000</v>
      </c>
      <c r="P73" s="30">
        <f>M73*10*0.8</f>
        <v>640000</v>
      </c>
      <c r="Q73" s="30">
        <f t="shared" si="15"/>
        <v>9142.8571428571431</v>
      </c>
      <c r="R73" s="30">
        <f t="shared" si="11"/>
        <v>36571.428571428572</v>
      </c>
      <c r="S73" s="13"/>
      <c r="T73" s="13"/>
      <c r="U73" s="13"/>
      <c r="V73" s="13"/>
      <c r="W73" s="13"/>
    </row>
    <row r="74" spans="1:23" s="1" customFormat="1" ht="18.75" customHeight="1" x14ac:dyDescent="0.35">
      <c r="A74" s="14">
        <v>74</v>
      </c>
      <c r="B74" s="28" t="s">
        <v>196</v>
      </c>
      <c r="C74" s="28" t="s">
        <v>235</v>
      </c>
      <c r="D74" s="28" t="s">
        <v>236</v>
      </c>
      <c r="E74" s="28" t="s">
        <v>207</v>
      </c>
      <c r="F74" s="28" t="s">
        <v>220</v>
      </c>
      <c r="G74" s="28" t="s">
        <v>29</v>
      </c>
      <c r="H74" s="34">
        <v>11</v>
      </c>
      <c r="I74" s="119" t="s">
        <v>1455</v>
      </c>
      <c r="J74" s="28" t="s">
        <v>237</v>
      </c>
      <c r="K74" s="28" t="s">
        <v>35</v>
      </c>
      <c r="L74" s="17">
        <v>8</v>
      </c>
      <c r="M74" s="30">
        <f t="shared" si="12"/>
        <v>27500</v>
      </c>
      <c r="N74" s="30">
        <f t="shared" si="14"/>
        <v>220000</v>
      </c>
      <c r="O74" s="30">
        <f t="shared" ref="O74:O81" si="16">M74*L74</f>
        <v>220000</v>
      </c>
      <c r="P74" s="30">
        <v>0</v>
      </c>
      <c r="Q74" s="30">
        <f t="shared" si="15"/>
        <v>0</v>
      </c>
      <c r="R74" s="30">
        <f t="shared" si="11"/>
        <v>0</v>
      </c>
      <c r="S74" s="13"/>
      <c r="T74" s="13"/>
      <c r="U74" s="13"/>
      <c r="V74" s="13"/>
      <c r="W74" s="13"/>
    </row>
    <row r="75" spans="1:23" s="1" customFormat="1" ht="18.75" customHeight="1" x14ac:dyDescent="0.35">
      <c r="A75" s="14">
        <v>75</v>
      </c>
      <c r="B75" s="28" t="s">
        <v>196</v>
      </c>
      <c r="C75" s="28" t="s">
        <v>238</v>
      </c>
      <c r="D75" s="28" t="s">
        <v>239</v>
      </c>
      <c r="E75" s="28" t="s">
        <v>240</v>
      </c>
      <c r="F75" s="28" t="s">
        <v>241</v>
      </c>
      <c r="G75" s="28" t="s">
        <v>29</v>
      </c>
      <c r="H75" s="34">
        <v>6</v>
      </c>
      <c r="I75" s="119" t="s">
        <v>1456</v>
      </c>
      <c r="J75" s="28" t="s">
        <v>217</v>
      </c>
      <c r="K75" s="28" t="s">
        <v>35</v>
      </c>
      <c r="L75" s="17">
        <v>3</v>
      </c>
      <c r="M75" s="30">
        <f t="shared" si="12"/>
        <v>15000</v>
      </c>
      <c r="N75" s="30">
        <f t="shared" si="14"/>
        <v>45000</v>
      </c>
      <c r="O75" s="30">
        <f t="shared" si="16"/>
        <v>45000</v>
      </c>
      <c r="P75" s="30">
        <v>0</v>
      </c>
      <c r="Q75" s="30">
        <f t="shared" si="15"/>
        <v>0</v>
      </c>
      <c r="R75" s="30">
        <f t="shared" si="11"/>
        <v>0</v>
      </c>
      <c r="S75" s="13"/>
      <c r="T75" s="13"/>
      <c r="U75" s="13"/>
      <c r="V75" s="13"/>
      <c r="W75" s="13"/>
    </row>
    <row r="76" spans="1:23" s="1" customFormat="1" ht="18.75" customHeight="1" x14ac:dyDescent="0.35">
      <c r="A76" s="14">
        <v>76</v>
      </c>
      <c r="B76" s="28" t="s">
        <v>196</v>
      </c>
      <c r="C76" s="28" t="s">
        <v>242</v>
      </c>
      <c r="D76" s="28" t="s">
        <v>243</v>
      </c>
      <c r="E76" s="28" t="s">
        <v>236</v>
      </c>
      <c r="F76" s="28" t="s">
        <v>244</v>
      </c>
      <c r="G76" s="28" t="s">
        <v>113</v>
      </c>
      <c r="H76" s="34">
        <v>1</v>
      </c>
      <c r="I76" s="119" t="s">
        <v>1457</v>
      </c>
      <c r="J76" s="28" t="s">
        <v>217</v>
      </c>
      <c r="K76" s="28" t="s">
        <v>25</v>
      </c>
      <c r="L76" s="17">
        <v>5</v>
      </c>
      <c r="M76" s="30">
        <f t="shared" si="12"/>
        <v>2500</v>
      </c>
      <c r="N76" s="30">
        <f t="shared" si="14"/>
        <v>12500</v>
      </c>
      <c r="O76" s="30">
        <f t="shared" si="16"/>
        <v>12500</v>
      </c>
      <c r="P76" s="30">
        <v>0</v>
      </c>
      <c r="Q76" s="30">
        <f t="shared" si="15"/>
        <v>0</v>
      </c>
      <c r="R76" s="30">
        <f t="shared" si="11"/>
        <v>0</v>
      </c>
      <c r="S76" s="13"/>
      <c r="T76" s="13"/>
      <c r="U76" s="13"/>
      <c r="V76" s="13"/>
      <c r="W76" s="13"/>
    </row>
    <row r="77" spans="1:23" s="1" customFormat="1" ht="18.75" customHeight="1" x14ac:dyDescent="0.35">
      <c r="A77" s="14">
        <v>77</v>
      </c>
      <c r="B77" s="28" t="s">
        <v>196</v>
      </c>
      <c r="C77" s="28" t="s">
        <v>245</v>
      </c>
      <c r="D77" s="28" t="s">
        <v>243</v>
      </c>
      <c r="E77" s="28" t="s">
        <v>236</v>
      </c>
      <c r="F77" s="28" t="s">
        <v>246</v>
      </c>
      <c r="G77" s="28" t="s">
        <v>29</v>
      </c>
      <c r="H77" s="29">
        <v>3.4</v>
      </c>
      <c r="I77" s="119" t="s">
        <v>1458</v>
      </c>
      <c r="J77" s="28" t="s">
        <v>217</v>
      </c>
      <c r="K77" s="28" t="s">
        <v>51</v>
      </c>
      <c r="L77" s="17">
        <v>5</v>
      </c>
      <c r="M77" s="30">
        <f t="shared" si="12"/>
        <v>8500</v>
      </c>
      <c r="N77" s="30">
        <f t="shared" si="14"/>
        <v>42500</v>
      </c>
      <c r="O77" s="30">
        <f t="shared" si="16"/>
        <v>42500</v>
      </c>
      <c r="P77" s="30">
        <v>0</v>
      </c>
      <c r="Q77" s="30">
        <f t="shared" si="15"/>
        <v>0</v>
      </c>
      <c r="R77" s="30">
        <f t="shared" si="11"/>
        <v>0</v>
      </c>
      <c r="S77" s="13"/>
      <c r="T77" s="13"/>
      <c r="U77" s="13"/>
      <c r="V77" s="13"/>
      <c r="W77" s="13"/>
    </row>
    <row r="78" spans="1:23" s="1" customFormat="1" ht="18.75" customHeight="1" x14ac:dyDescent="0.35">
      <c r="A78" s="14">
        <v>78</v>
      </c>
      <c r="B78" s="28" t="s">
        <v>196</v>
      </c>
      <c r="C78" s="28" t="s">
        <v>228</v>
      </c>
      <c r="D78" s="28" t="s">
        <v>243</v>
      </c>
      <c r="E78" s="28" t="s">
        <v>236</v>
      </c>
      <c r="F78" s="28" t="s">
        <v>247</v>
      </c>
      <c r="G78" s="28" t="s">
        <v>113</v>
      </c>
      <c r="H78" s="34">
        <v>2</v>
      </c>
      <c r="I78" s="119" t="s">
        <v>1459</v>
      </c>
      <c r="J78" s="28" t="s">
        <v>217</v>
      </c>
      <c r="K78" s="28" t="s">
        <v>35</v>
      </c>
      <c r="L78" s="17">
        <v>5</v>
      </c>
      <c r="M78" s="30">
        <f t="shared" si="12"/>
        <v>5000</v>
      </c>
      <c r="N78" s="30">
        <f t="shared" si="14"/>
        <v>25000</v>
      </c>
      <c r="O78" s="30">
        <f t="shared" si="16"/>
        <v>25000</v>
      </c>
      <c r="P78" s="30">
        <v>0</v>
      </c>
      <c r="Q78" s="30">
        <f t="shared" si="15"/>
        <v>0</v>
      </c>
      <c r="R78" s="30">
        <f t="shared" si="11"/>
        <v>0</v>
      </c>
      <c r="S78" s="13"/>
      <c r="T78" s="13"/>
      <c r="U78" s="13"/>
      <c r="V78" s="13"/>
      <c r="W78" s="13"/>
    </row>
    <row r="79" spans="1:23" s="1" customFormat="1" ht="18.75" customHeight="1" x14ac:dyDescent="0.35">
      <c r="A79" s="14">
        <v>79</v>
      </c>
      <c r="B79" s="28" t="s">
        <v>196</v>
      </c>
      <c r="C79" s="28" t="s">
        <v>248</v>
      </c>
      <c r="D79" s="28" t="s">
        <v>243</v>
      </c>
      <c r="E79" s="28" t="s">
        <v>249</v>
      </c>
      <c r="F79" s="28" t="s">
        <v>250</v>
      </c>
      <c r="G79" s="28" t="s">
        <v>251</v>
      </c>
      <c r="H79" s="29">
        <v>0.3</v>
      </c>
      <c r="I79" s="119" t="s">
        <v>1460</v>
      </c>
      <c r="J79" s="28" t="s">
        <v>237</v>
      </c>
      <c r="K79" s="28" t="s">
        <v>35</v>
      </c>
      <c r="L79" s="17">
        <v>2</v>
      </c>
      <c r="M79" s="30">
        <f t="shared" si="12"/>
        <v>750</v>
      </c>
      <c r="N79" s="30">
        <f t="shared" si="14"/>
        <v>1500</v>
      </c>
      <c r="O79" s="30">
        <f t="shared" si="16"/>
        <v>1500</v>
      </c>
      <c r="P79" s="30">
        <v>0</v>
      </c>
      <c r="Q79" s="30">
        <f t="shared" si="15"/>
        <v>0</v>
      </c>
      <c r="R79" s="30">
        <f t="shared" si="11"/>
        <v>0</v>
      </c>
      <c r="S79" s="13"/>
      <c r="T79" s="13"/>
      <c r="U79" s="13"/>
      <c r="V79" s="13"/>
      <c r="W79" s="13"/>
    </row>
    <row r="80" spans="1:23" s="1" customFormat="1" ht="18.75" customHeight="1" x14ac:dyDescent="0.35">
      <c r="A80" s="14">
        <v>80</v>
      </c>
      <c r="B80" s="28" t="s">
        <v>196</v>
      </c>
      <c r="C80" s="28" t="s">
        <v>252</v>
      </c>
      <c r="D80" s="28" t="s">
        <v>243</v>
      </c>
      <c r="E80" s="35" t="s">
        <v>222</v>
      </c>
      <c r="F80" s="28" t="s">
        <v>253</v>
      </c>
      <c r="G80" s="28" t="s">
        <v>29</v>
      </c>
      <c r="H80" s="34">
        <v>64</v>
      </c>
      <c r="I80" s="119" t="s">
        <v>1461</v>
      </c>
      <c r="J80" s="28" t="s">
        <v>217</v>
      </c>
      <c r="K80" s="28" t="s">
        <v>35</v>
      </c>
      <c r="L80" s="17">
        <v>10</v>
      </c>
      <c r="M80" s="30">
        <f t="shared" si="12"/>
        <v>160000</v>
      </c>
      <c r="N80" s="30">
        <f t="shared" si="14"/>
        <v>1600000</v>
      </c>
      <c r="O80" s="30">
        <f t="shared" si="16"/>
        <v>1600000</v>
      </c>
      <c r="P80" s="30">
        <v>0</v>
      </c>
      <c r="Q80" s="30">
        <f t="shared" si="15"/>
        <v>0</v>
      </c>
      <c r="R80" s="30">
        <f t="shared" si="11"/>
        <v>0</v>
      </c>
      <c r="S80" s="13"/>
      <c r="T80" s="13"/>
      <c r="U80" s="13"/>
      <c r="V80" s="13"/>
      <c r="W80" s="13"/>
    </row>
    <row r="81" spans="1:23" s="1" customFormat="1" ht="18.75" customHeight="1" x14ac:dyDescent="0.35">
      <c r="A81" s="14">
        <v>81</v>
      </c>
      <c r="B81" s="28" t="s">
        <v>196</v>
      </c>
      <c r="C81" s="28" t="s">
        <v>254</v>
      </c>
      <c r="D81" s="28" t="s">
        <v>243</v>
      </c>
      <c r="E81" s="28" t="s">
        <v>236</v>
      </c>
      <c r="F81" s="28" t="s">
        <v>255</v>
      </c>
      <c r="G81" s="28" t="s">
        <v>251</v>
      </c>
      <c r="H81" s="34">
        <v>110</v>
      </c>
      <c r="I81" s="119" t="s">
        <v>1462</v>
      </c>
      <c r="J81" s="28" t="s">
        <v>217</v>
      </c>
      <c r="K81" s="28" t="s">
        <v>35</v>
      </c>
      <c r="L81" s="17">
        <v>5</v>
      </c>
      <c r="M81" s="30">
        <f t="shared" si="12"/>
        <v>275000</v>
      </c>
      <c r="N81" s="30">
        <f t="shared" si="14"/>
        <v>1375000</v>
      </c>
      <c r="O81" s="30">
        <f t="shared" si="16"/>
        <v>1375000</v>
      </c>
      <c r="P81" s="30">
        <v>0</v>
      </c>
      <c r="Q81" s="30">
        <f t="shared" si="15"/>
        <v>0</v>
      </c>
      <c r="R81" s="30">
        <f t="shared" si="11"/>
        <v>0</v>
      </c>
      <c r="S81" s="13"/>
      <c r="T81" s="13"/>
      <c r="U81" s="13"/>
      <c r="V81" s="13"/>
      <c r="W81" s="13"/>
    </row>
    <row r="82" spans="1:23" s="1" customFormat="1" ht="18.75" customHeight="1" x14ac:dyDescent="0.35">
      <c r="A82" s="14">
        <v>82</v>
      </c>
      <c r="B82" s="28" t="s">
        <v>196</v>
      </c>
      <c r="C82" s="28" t="s">
        <v>256</v>
      </c>
      <c r="D82" s="28" t="s">
        <v>257</v>
      </c>
      <c r="E82" s="28" t="s">
        <v>258</v>
      </c>
      <c r="F82" s="28" t="s">
        <v>259</v>
      </c>
      <c r="G82" s="28" t="s">
        <v>23</v>
      </c>
      <c r="H82" s="29">
        <v>4.4000000000000004</v>
      </c>
      <c r="I82" s="28" t="s">
        <v>1463</v>
      </c>
      <c r="J82" s="28" t="s">
        <v>30</v>
      </c>
      <c r="K82" s="28" t="s">
        <v>35</v>
      </c>
      <c r="L82" s="17">
        <v>10</v>
      </c>
      <c r="M82" s="30">
        <f t="shared" si="12"/>
        <v>11000</v>
      </c>
      <c r="N82" s="30">
        <f t="shared" si="14"/>
        <v>110000</v>
      </c>
      <c r="O82" s="30">
        <f>M82*2</f>
        <v>22000</v>
      </c>
      <c r="P82" s="30">
        <f>M82*8*0.8</f>
        <v>70400</v>
      </c>
      <c r="Q82" s="30">
        <f t="shared" si="15"/>
        <v>1005.7142857142857</v>
      </c>
      <c r="R82" s="30">
        <f t="shared" si="11"/>
        <v>4022.8571428571427</v>
      </c>
      <c r="S82" s="13"/>
      <c r="T82" s="13"/>
      <c r="U82" s="13"/>
      <c r="V82" s="13"/>
      <c r="W82" s="13"/>
    </row>
    <row r="83" spans="1:23" s="1" customFormat="1" ht="18.75" customHeight="1" x14ac:dyDescent="0.35">
      <c r="A83" s="14">
        <v>83</v>
      </c>
      <c r="B83" s="28" t="s">
        <v>196</v>
      </c>
      <c r="C83" s="28" t="s">
        <v>260</v>
      </c>
      <c r="D83" s="28" t="s">
        <v>236</v>
      </c>
      <c r="E83" s="28" t="s">
        <v>261</v>
      </c>
      <c r="F83" s="28" t="s">
        <v>262</v>
      </c>
      <c r="G83" s="28" t="s">
        <v>29</v>
      </c>
      <c r="H83" s="34">
        <v>11</v>
      </c>
      <c r="I83" s="119" t="s">
        <v>1464</v>
      </c>
      <c r="J83" s="28" t="s">
        <v>217</v>
      </c>
      <c r="K83" s="28" t="s">
        <v>35</v>
      </c>
      <c r="L83" s="17">
        <v>13</v>
      </c>
      <c r="M83" s="30">
        <f t="shared" si="12"/>
        <v>27500</v>
      </c>
      <c r="N83" s="30">
        <f t="shared" si="14"/>
        <v>357500</v>
      </c>
      <c r="O83" s="30">
        <f>M83*3</f>
        <v>82500</v>
      </c>
      <c r="P83" s="30">
        <f>M83*10*0.8</f>
        <v>220000</v>
      </c>
      <c r="Q83" s="30">
        <f t="shared" si="15"/>
        <v>3142.8571428571427</v>
      </c>
      <c r="R83" s="30">
        <f t="shared" si="11"/>
        <v>12571.428571428571</v>
      </c>
      <c r="S83" s="13"/>
      <c r="T83" s="13"/>
      <c r="U83" s="13"/>
      <c r="V83" s="13"/>
      <c r="W83" s="13"/>
    </row>
    <row r="84" spans="1:23" s="1" customFormat="1" ht="18.75" customHeight="1" x14ac:dyDescent="0.35">
      <c r="A84" s="14">
        <v>84</v>
      </c>
      <c r="B84" s="28" t="s">
        <v>196</v>
      </c>
      <c r="C84" s="28" t="s">
        <v>263</v>
      </c>
      <c r="D84" s="28" t="s">
        <v>264</v>
      </c>
      <c r="E84" s="28" t="s">
        <v>265</v>
      </c>
      <c r="F84" s="28" t="s">
        <v>266</v>
      </c>
      <c r="G84" s="28" t="s">
        <v>251</v>
      </c>
      <c r="H84" s="34">
        <v>678</v>
      </c>
      <c r="I84" s="119" t="s">
        <v>1465</v>
      </c>
      <c r="J84" s="28" t="s">
        <v>217</v>
      </c>
      <c r="K84" s="28" t="s">
        <v>35</v>
      </c>
      <c r="L84" s="17">
        <v>5</v>
      </c>
      <c r="M84" s="30">
        <f t="shared" si="12"/>
        <v>1695000</v>
      </c>
      <c r="N84" s="30">
        <f t="shared" si="14"/>
        <v>8475000</v>
      </c>
      <c r="O84" s="30">
        <f>M84*L84</f>
        <v>8475000</v>
      </c>
      <c r="P84" s="30">
        <v>0</v>
      </c>
      <c r="Q84" s="30">
        <f t="shared" si="15"/>
        <v>0</v>
      </c>
      <c r="R84" s="30">
        <f t="shared" si="11"/>
        <v>0</v>
      </c>
      <c r="S84" s="13"/>
      <c r="T84" s="13"/>
      <c r="U84" s="13"/>
      <c r="V84" s="13"/>
      <c r="W84" s="13"/>
    </row>
    <row r="85" spans="1:23" ht="32.5" customHeight="1" x14ac:dyDescent="0.35">
      <c r="A85" s="14">
        <v>85</v>
      </c>
      <c r="B85" s="36" t="s">
        <v>267</v>
      </c>
      <c r="C85" s="36" t="s">
        <v>268</v>
      </c>
      <c r="D85" s="36" t="s">
        <v>269</v>
      </c>
      <c r="E85" s="36" t="s">
        <v>270</v>
      </c>
      <c r="F85" s="36" t="s">
        <v>271</v>
      </c>
      <c r="G85" s="36" t="s">
        <v>29</v>
      </c>
      <c r="H85" s="37">
        <v>0.01</v>
      </c>
      <c r="I85" s="110" t="s">
        <v>1466</v>
      </c>
      <c r="J85" s="36" t="s">
        <v>272</v>
      </c>
      <c r="K85" s="36" t="s">
        <v>25</v>
      </c>
      <c r="L85" s="38">
        <v>2</v>
      </c>
      <c r="M85" s="39">
        <f t="shared" si="12"/>
        <v>25</v>
      </c>
      <c r="N85" s="39">
        <f>M85*2</f>
        <v>50</v>
      </c>
      <c r="O85" s="39">
        <f>M85*L85</f>
        <v>50</v>
      </c>
      <c r="P85" s="39">
        <v>0</v>
      </c>
      <c r="Q85" s="39">
        <f t="shared" si="15"/>
        <v>0</v>
      </c>
      <c r="R85" s="39">
        <f t="shared" si="11"/>
        <v>0</v>
      </c>
      <c r="S85" s="13"/>
      <c r="T85" s="13"/>
      <c r="U85" s="13"/>
      <c r="V85" s="40"/>
      <c r="W85" s="13"/>
    </row>
    <row r="86" spans="1:23" s="1" customFormat="1" ht="32.5" customHeight="1" x14ac:dyDescent="0.35">
      <c r="A86" s="14">
        <v>86</v>
      </c>
      <c r="B86" s="36" t="s">
        <v>267</v>
      </c>
      <c r="C86" s="36" t="s">
        <v>273</v>
      </c>
      <c r="D86" s="36" t="s">
        <v>269</v>
      </c>
      <c r="E86" s="36" t="s">
        <v>274</v>
      </c>
      <c r="F86" s="36" t="s">
        <v>275</v>
      </c>
      <c r="G86" s="36" t="s">
        <v>23</v>
      </c>
      <c r="H86" s="37">
        <v>0.18</v>
      </c>
      <c r="I86" s="110" t="s">
        <v>1467</v>
      </c>
      <c r="J86" s="36" t="s">
        <v>272</v>
      </c>
      <c r="K86" s="36" t="s">
        <v>25</v>
      </c>
      <c r="L86" s="24">
        <v>13</v>
      </c>
      <c r="M86" s="39">
        <f t="shared" si="12"/>
        <v>450</v>
      </c>
      <c r="N86" s="39">
        <f>M86*13</f>
        <v>5850</v>
      </c>
      <c r="O86" s="39">
        <f>M86*3</f>
        <v>1350</v>
      </c>
      <c r="P86" s="39">
        <f>M86*10*0.8</f>
        <v>3600</v>
      </c>
      <c r="Q86" s="39">
        <f t="shared" si="15"/>
        <v>51.428571428571431</v>
      </c>
      <c r="R86" s="39">
        <f t="shared" si="11"/>
        <v>205.71428571428572</v>
      </c>
      <c r="S86" s="13"/>
      <c r="T86" s="13"/>
      <c r="U86" s="13"/>
      <c r="V86" s="13"/>
      <c r="W86" s="13"/>
    </row>
    <row r="87" spans="1:23" ht="32.5" customHeight="1" x14ac:dyDescent="0.35">
      <c r="A87" s="14">
        <v>87</v>
      </c>
      <c r="B87" s="36" t="s">
        <v>267</v>
      </c>
      <c r="C87" s="36" t="s">
        <v>276</v>
      </c>
      <c r="D87" s="36" t="s">
        <v>269</v>
      </c>
      <c r="E87" s="36" t="s">
        <v>277</v>
      </c>
      <c r="F87" s="36" t="s">
        <v>271</v>
      </c>
      <c r="G87" s="36" t="s">
        <v>29</v>
      </c>
      <c r="H87" s="37">
        <v>0.1</v>
      </c>
      <c r="I87" s="110" t="s">
        <v>278</v>
      </c>
      <c r="J87" s="36" t="s">
        <v>272</v>
      </c>
      <c r="K87" s="36" t="s">
        <v>25</v>
      </c>
      <c r="L87" s="38">
        <v>2</v>
      </c>
      <c r="M87" s="39">
        <f t="shared" si="12"/>
        <v>250</v>
      </c>
      <c r="N87" s="39">
        <f>M87*2</f>
        <v>500</v>
      </c>
      <c r="O87" s="39">
        <f>M87*L87</f>
        <v>500</v>
      </c>
      <c r="P87" s="39">
        <v>0</v>
      </c>
      <c r="Q87" s="39">
        <f t="shared" si="15"/>
        <v>0</v>
      </c>
      <c r="R87" s="39">
        <f t="shared" si="11"/>
        <v>0</v>
      </c>
      <c r="S87" s="13"/>
      <c r="T87" s="13"/>
      <c r="U87" s="13"/>
      <c r="V87" s="40"/>
      <c r="W87" s="13"/>
    </row>
    <row r="88" spans="1:23" ht="32.5" customHeight="1" x14ac:dyDescent="0.35">
      <c r="A88" s="14">
        <v>88</v>
      </c>
      <c r="B88" s="36" t="s">
        <v>267</v>
      </c>
      <c r="C88" s="36" t="s">
        <v>279</v>
      </c>
      <c r="D88" s="36" t="s">
        <v>269</v>
      </c>
      <c r="E88" s="36" t="s">
        <v>280</v>
      </c>
      <c r="F88" s="36" t="s">
        <v>271</v>
      </c>
      <c r="G88" s="36" t="s">
        <v>29</v>
      </c>
      <c r="H88" s="37">
        <v>0.1</v>
      </c>
      <c r="I88" s="110" t="s">
        <v>1468</v>
      </c>
      <c r="J88" s="36" t="s">
        <v>272</v>
      </c>
      <c r="K88" s="36" t="s">
        <v>25</v>
      </c>
      <c r="L88" s="38">
        <v>2</v>
      </c>
      <c r="M88" s="39">
        <f t="shared" si="12"/>
        <v>250</v>
      </c>
      <c r="N88" s="39">
        <f>M88*2</f>
        <v>500</v>
      </c>
      <c r="O88" s="39">
        <f>M88*L88</f>
        <v>500</v>
      </c>
      <c r="P88" s="39">
        <v>0</v>
      </c>
      <c r="Q88" s="39">
        <f t="shared" si="15"/>
        <v>0</v>
      </c>
      <c r="R88" s="39">
        <f t="shared" si="11"/>
        <v>0</v>
      </c>
      <c r="S88" s="13"/>
      <c r="T88" s="13"/>
      <c r="U88" s="13"/>
      <c r="V88" s="40"/>
      <c r="W88" s="13"/>
    </row>
    <row r="89" spans="1:23" ht="32.5" customHeight="1" x14ac:dyDescent="0.35">
      <c r="A89" s="14">
        <v>89</v>
      </c>
      <c r="B89" s="36" t="s">
        <v>267</v>
      </c>
      <c r="C89" s="36" t="s">
        <v>281</v>
      </c>
      <c r="D89" s="36" t="s">
        <v>269</v>
      </c>
      <c r="E89" s="36" t="s">
        <v>282</v>
      </c>
      <c r="F89" s="36" t="s">
        <v>271</v>
      </c>
      <c r="G89" s="36" t="s">
        <v>29</v>
      </c>
      <c r="H89" s="37">
        <v>0.01</v>
      </c>
      <c r="I89" s="110" t="s">
        <v>1469</v>
      </c>
      <c r="J89" s="36" t="s">
        <v>272</v>
      </c>
      <c r="K89" s="36" t="s">
        <v>25</v>
      </c>
      <c r="L89" s="38">
        <v>2</v>
      </c>
      <c r="M89" s="39">
        <f t="shared" si="12"/>
        <v>25</v>
      </c>
      <c r="N89" s="39">
        <f>M89*2</f>
        <v>50</v>
      </c>
      <c r="O89" s="39">
        <f>M89*L89</f>
        <v>50</v>
      </c>
      <c r="P89" s="39">
        <v>0</v>
      </c>
      <c r="Q89" s="39">
        <f t="shared" si="15"/>
        <v>0</v>
      </c>
      <c r="R89" s="39">
        <f t="shared" si="11"/>
        <v>0</v>
      </c>
      <c r="S89" s="13"/>
      <c r="T89" s="13"/>
      <c r="U89" s="13"/>
      <c r="V89" s="40"/>
      <c r="W89" s="13"/>
    </row>
    <row r="90" spans="1:23" ht="32.5" customHeight="1" x14ac:dyDescent="0.35">
      <c r="A90" s="14">
        <v>90</v>
      </c>
      <c r="B90" s="36" t="s">
        <v>267</v>
      </c>
      <c r="C90" s="36" t="s">
        <v>283</v>
      </c>
      <c r="D90" s="36" t="s">
        <v>269</v>
      </c>
      <c r="E90" s="36" t="s">
        <v>284</v>
      </c>
      <c r="F90" s="36" t="s">
        <v>271</v>
      </c>
      <c r="G90" s="36" t="s">
        <v>29</v>
      </c>
      <c r="H90" s="37">
        <v>0.01</v>
      </c>
      <c r="I90" s="110" t="s">
        <v>1470</v>
      </c>
      <c r="J90" s="36" t="s">
        <v>217</v>
      </c>
      <c r="K90" s="36" t="s">
        <v>25</v>
      </c>
      <c r="L90" s="38">
        <v>2</v>
      </c>
      <c r="M90" s="39">
        <f t="shared" si="12"/>
        <v>25</v>
      </c>
      <c r="N90" s="39">
        <f>M90*2</f>
        <v>50</v>
      </c>
      <c r="O90" s="39">
        <f>M90*L90</f>
        <v>50</v>
      </c>
      <c r="P90" s="39">
        <v>0</v>
      </c>
      <c r="Q90" s="39">
        <f t="shared" si="15"/>
        <v>0</v>
      </c>
      <c r="R90" s="39">
        <f t="shared" si="11"/>
        <v>0</v>
      </c>
      <c r="S90" s="13"/>
      <c r="T90" s="13"/>
      <c r="U90" s="13"/>
      <c r="V90" s="40"/>
      <c r="W90" s="13"/>
    </row>
    <row r="91" spans="1:23" s="1" customFormat="1" ht="32.5" customHeight="1" x14ac:dyDescent="0.35">
      <c r="A91" s="14">
        <v>91</v>
      </c>
      <c r="B91" s="36" t="s">
        <v>267</v>
      </c>
      <c r="C91" s="36" t="s">
        <v>285</v>
      </c>
      <c r="D91" s="36" t="s">
        <v>286</v>
      </c>
      <c r="E91" s="36" t="s">
        <v>287</v>
      </c>
      <c r="F91" s="36" t="s">
        <v>288</v>
      </c>
      <c r="G91" s="36" t="s">
        <v>23</v>
      </c>
      <c r="H91" s="37">
        <v>0.59</v>
      </c>
      <c r="I91" s="36" t="s">
        <v>289</v>
      </c>
      <c r="J91" s="36" t="s">
        <v>24</v>
      </c>
      <c r="K91" s="36" t="s">
        <v>35</v>
      </c>
      <c r="L91" s="17">
        <v>20</v>
      </c>
      <c r="M91" s="39">
        <f t="shared" si="12"/>
        <v>1475</v>
      </c>
      <c r="N91" s="39">
        <f t="shared" ref="N91:N103" si="17">M91*L91</f>
        <v>29500</v>
      </c>
      <c r="O91" s="39">
        <f>M91*10</f>
        <v>14750</v>
      </c>
      <c r="P91" s="39">
        <f>M91*15*0.8</f>
        <v>17700</v>
      </c>
      <c r="Q91" s="39">
        <f t="shared" si="15"/>
        <v>252.85714285714286</v>
      </c>
      <c r="R91" s="39">
        <f t="shared" si="11"/>
        <v>1011.4285714285714</v>
      </c>
      <c r="S91" s="13"/>
      <c r="T91" s="13"/>
      <c r="U91" s="13"/>
      <c r="V91" s="13"/>
      <c r="W91" s="13"/>
    </row>
    <row r="92" spans="1:23" s="1" customFormat="1" ht="32.5" customHeight="1" x14ac:dyDescent="0.35">
      <c r="A92" s="14">
        <v>92</v>
      </c>
      <c r="B92" s="36" t="s">
        <v>267</v>
      </c>
      <c r="C92" s="36" t="s">
        <v>285</v>
      </c>
      <c r="D92" s="36" t="s">
        <v>286</v>
      </c>
      <c r="E92" s="20" t="s">
        <v>290</v>
      </c>
      <c r="F92" s="36" t="s">
        <v>288</v>
      </c>
      <c r="G92" s="36" t="s">
        <v>23</v>
      </c>
      <c r="H92" s="41">
        <v>2</v>
      </c>
      <c r="I92" s="36" t="s">
        <v>291</v>
      </c>
      <c r="J92" s="36" t="s">
        <v>272</v>
      </c>
      <c r="K92" s="36" t="s">
        <v>35</v>
      </c>
      <c r="L92" s="17">
        <v>20</v>
      </c>
      <c r="M92" s="21">
        <f t="shared" si="12"/>
        <v>5000</v>
      </c>
      <c r="N92" s="21">
        <f t="shared" si="17"/>
        <v>100000</v>
      </c>
      <c r="O92" s="21">
        <f>M92*10</f>
        <v>50000</v>
      </c>
      <c r="P92" s="21">
        <f>M92*15*0.8</f>
        <v>60000</v>
      </c>
      <c r="Q92" s="21">
        <f t="shared" si="15"/>
        <v>857.14285714285711</v>
      </c>
      <c r="R92" s="21">
        <f t="shared" si="11"/>
        <v>3428.5714285714284</v>
      </c>
      <c r="S92" s="13"/>
      <c r="T92" s="13"/>
      <c r="U92" s="13"/>
      <c r="V92" s="13"/>
      <c r="W92" s="13"/>
    </row>
    <row r="93" spans="1:23" s="1" customFormat="1" ht="32.5" customHeight="1" x14ac:dyDescent="0.35">
      <c r="A93" s="14">
        <v>93</v>
      </c>
      <c r="B93" s="36" t="s">
        <v>267</v>
      </c>
      <c r="C93" s="36" t="s">
        <v>285</v>
      </c>
      <c r="D93" s="36" t="s">
        <v>286</v>
      </c>
      <c r="E93" s="36" t="s">
        <v>292</v>
      </c>
      <c r="F93" s="36" t="s">
        <v>293</v>
      </c>
      <c r="G93" s="36" t="s">
        <v>23</v>
      </c>
      <c r="H93" s="41">
        <v>4</v>
      </c>
      <c r="I93" s="36" t="s">
        <v>294</v>
      </c>
      <c r="J93" s="36" t="s">
        <v>24</v>
      </c>
      <c r="K93" s="36" t="s">
        <v>35</v>
      </c>
      <c r="L93" s="17">
        <v>18</v>
      </c>
      <c r="M93" s="39">
        <f t="shared" si="12"/>
        <v>10000</v>
      </c>
      <c r="N93" s="39">
        <f t="shared" si="17"/>
        <v>180000</v>
      </c>
      <c r="O93" s="39">
        <f>M93*6</f>
        <v>60000</v>
      </c>
      <c r="P93" s="39">
        <f>M93*12*0.8</f>
        <v>96000</v>
      </c>
      <c r="Q93" s="39">
        <f t="shared" si="15"/>
        <v>1371.4285714285713</v>
      </c>
      <c r="R93" s="39">
        <f t="shared" si="11"/>
        <v>5485.7142857142853</v>
      </c>
      <c r="S93" s="13"/>
      <c r="T93" s="13"/>
      <c r="U93" s="13"/>
      <c r="V93" s="13"/>
      <c r="W93" s="13"/>
    </row>
    <row r="94" spans="1:23" s="1" customFormat="1" ht="32.5" customHeight="1" x14ac:dyDescent="0.35">
      <c r="A94" s="14">
        <v>94</v>
      </c>
      <c r="B94" s="36" t="s">
        <v>267</v>
      </c>
      <c r="C94" s="36" t="s">
        <v>295</v>
      </c>
      <c r="D94" s="36" t="s">
        <v>286</v>
      </c>
      <c r="E94" s="20" t="s">
        <v>296</v>
      </c>
      <c r="F94" s="36" t="s">
        <v>297</v>
      </c>
      <c r="G94" s="36" t="s">
        <v>23</v>
      </c>
      <c r="H94" s="37">
        <v>0.5</v>
      </c>
      <c r="I94" s="36" t="s">
        <v>298</v>
      </c>
      <c r="J94" s="36" t="s">
        <v>24</v>
      </c>
      <c r="K94" s="36" t="s">
        <v>35</v>
      </c>
      <c r="L94" s="17">
        <v>20</v>
      </c>
      <c r="M94" s="21">
        <f t="shared" si="12"/>
        <v>1250</v>
      </c>
      <c r="N94" s="21">
        <f t="shared" si="17"/>
        <v>25000</v>
      </c>
      <c r="O94" s="21">
        <f>M94*2</f>
        <v>2500</v>
      </c>
      <c r="P94" s="21">
        <f>M94*10*0.8</f>
        <v>10000</v>
      </c>
      <c r="Q94" s="21">
        <f t="shared" si="15"/>
        <v>142.85714285714286</v>
      </c>
      <c r="R94" s="21">
        <f t="shared" si="11"/>
        <v>571.42857142857144</v>
      </c>
      <c r="S94" s="13"/>
      <c r="T94" s="13"/>
      <c r="U94" s="13"/>
      <c r="V94" s="13"/>
      <c r="W94" s="13"/>
    </row>
    <row r="95" spans="1:23" s="1" customFormat="1" ht="32.5" customHeight="1" x14ac:dyDescent="0.35">
      <c r="A95" s="14">
        <v>95</v>
      </c>
      <c r="B95" s="36" t="s">
        <v>267</v>
      </c>
      <c r="C95" s="36" t="s">
        <v>285</v>
      </c>
      <c r="D95" s="36" t="s">
        <v>286</v>
      </c>
      <c r="E95" s="20" t="s">
        <v>299</v>
      </c>
      <c r="F95" s="36" t="s">
        <v>293</v>
      </c>
      <c r="G95" s="36" t="s">
        <v>23</v>
      </c>
      <c r="H95" s="37">
        <v>0.4</v>
      </c>
      <c r="I95" s="36" t="s">
        <v>300</v>
      </c>
      <c r="J95" s="36" t="s">
        <v>24</v>
      </c>
      <c r="K95" s="36" t="s">
        <v>35</v>
      </c>
      <c r="L95" s="17">
        <v>20</v>
      </c>
      <c r="M95" s="21">
        <f t="shared" si="12"/>
        <v>1000</v>
      </c>
      <c r="N95" s="21">
        <f t="shared" si="17"/>
        <v>20000</v>
      </c>
      <c r="O95" s="21">
        <f>M95*10</f>
        <v>10000</v>
      </c>
      <c r="P95" s="21">
        <f>M95*15*0.8</f>
        <v>12000</v>
      </c>
      <c r="Q95" s="21">
        <f t="shared" si="15"/>
        <v>171.42857142857142</v>
      </c>
      <c r="R95" s="21">
        <f t="shared" si="11"/>
        <v>685.71428571428567</v>
      </c>
      <c r="S95" s="13"/>
      <c r="T95" s="13"/>
      <c r="U95" s="13"/>
      <c r="V95" s="13"/>
      <c r="W95" s="13"/>
    </row>
    <row r="96" spans="1:23" s="1" customFormat="1" ht="32.5" customHeight="1" x14ac:dyDescent="0.35">
      <c r="A96" s="14">
        <v>96</v>
      </c>
      <c r="B96" s="36" t="s">
        <v>267</v>
      </c>
      <c r="C96" s="36" t="s">
        <v>301</v>
      </c>
      <c r="D96" s="36" t="s">
        <v>269</v>
      </c>
      <c r="E96" s="20" t="s">
        <v>302</v>
      </c>
      <c r="F96" s="36" t="s">
        <v>303</v>
      </c>
      <c r="G96" s="36" t="s">
        <v>23</v>
      </c>
      <c r="H96" s="37">
        <v>6.3</v>
      </c>
      <c r="I96" s="36" t="s">
        <v>304</v>
      </c>
      <c r="J96" s="36" t="s">
        <v>24</v>
      </c>
      <c r="K96" s="36" t="s">
        <v>51</v>
      </c>
      <c r="L96" s="17">
        <v>12</v>
      </c>
      <c r="M96" s="21">
        <f t="shared" si="12"/>
        <v>15750</v>
      </c>
      <c r="N96" s="21">
        <f t="shared" si="17"/>
        <v>189000</v>
      </c>
      <c r="O96" s="21">
        <f>M96*3</f>
        <v>47250</v>
      </c>
      <c r="P96" s="21">
        <f>M96*10*0.8</f>
        <v>126000</v>
      </c>
      <c r="Q96" s="21">
        <f t="shared" si="15"/>
        <v>1800</v>
      </c>
      <c r="R96" s="21">
        <f t="shared" si="11"/>
        <v>7200</v>
      </c>
      <c r="S96" s="13"/>
      <c r="T96" s="13"/>
      <c r="U96" s="13"/>
      <c r="V96" s="13"/>
      <c r="W96" s="13"/>
    </row>
    <row r="97" spans="1:23" ht="32.5" customHeight="1" x14ac:dyDescent="0.35">
      <c r="A97" s="14">
        <v>97</v>
      </c>
      <c r="B97" s="36" t="s">
        <v>267</v>
      </c>
      <c r="C97" s="36" t="s">
        <v>305</v>
      </c>
      <c r="D97" s="36" t="s">
        <v>306</v>
      </c>
      <c r="E97" s="20" t="s">
        <v>307</v>
      </c>
      <c r="F97" s="36" t="s">
        <v>308</v>
      </c>
      <c r="G97" s="36" t="s">
        <v>23</v>
      </c>
      <c r="H97" s="37">
        <v>2.9</v>
      </c>
      <c r="I97" s="36" t="s">
        <v>309</v>
      </c>
      <c r="J97" s="36" t="s">
        <v>24</v>
      </c>
      <c r="K97" s="36" t="s">
        <v>51</v>
      </c>
      <c r="L97" s="42">
        <v>12</v>
      </c>
      <c r="M97" s="21">
        <f t="shared" si="12"/>
        <v>7250</v>
      </c>
      <c r="N97" s="21">
        <f t="shared" si="17"/>
        <v>87000</v>
      </c>
      <c r="O97" s="21">
        <f>M97*3</f>
        <v>21750</v>
      </c>
      <c r="P97" s="21">
        <f>M97*10*0.8</f>
        <v>58000</v>
      </c>
      <c r="Q97" s="21">
        <f t="shared" si="15"/>
        <v>828.57142857142856</v>
      </c>
      <c r="R97" s="21">
        <f t="shared" si="11"/>
        <v>3314.2857142857142</v>
      </c>
      <c r="S97" s="13"/>
      <c r="T97" s="13"/>
      <c r="U97" s="13"/>
      <c r="V97" s="40"/>
      <c r="W97" s="13"/>
    </row>
    <row r="98" spans="1:23" ht="32.5" customHeight="1" x14ac:dyDescent="0.35">
      <c r="A98" s="14">
        <v>98</v>
      </c>
      <c r="B98" s="36" t="s">
        <v>267</v>
      </c>
      <c r="C98" s="36" t="s">
        <v>310</v>
      </c>
      <c r="D98" s="36" t="s">
        <v>269</v>
      </c>
      <c r="E98" s="36" t="s">
        <v>311</v>
      </c>
      <c r="F98" s="36" t="s">
        <v>303</v>
      </c>
      <c r="G98" s="36" t="s">
        <v>23</v>
      </c>
      <c r="H98" s="37">
        <v>1.3</v>
      </c>
      <c r="I98" s="36" t="s">
        <v>312</v>
      </c>
      <c r="J98" s="36" t="s">
        <v>24</v>
      </c>
      <c r="K98" s="36" t="s">
        <v>51</v>
      </c>
      <c r="L98" s="42">
        <v>10</v>
      </c>
      <c r="M98" s="39">
        <f t="shared" si="12"/>
        <v>3250</v>
      </c>
      <c r="N98" s="39">
        <f t="shared" si="17"/>
        <v>32500</v>
      </c>
      <c r="O98" s="39">
        <f>M98*2</f>
        <v>6500</v>
      </c>
      <c r="P98" s="39">
        <f>M98*8*0.8</f>
        <v>20800</v>
      </c>
      <c r="Q98" s="39">
        <f t="shared" si="15"/>
        <v>297.14285714285717</v>
      </c>
      <c r="R98" s="39">
        <f t="shared" si="11"/>
        <v>1188.5714285714287</v>
      </c>
      <c r="S98" s="13"/>
      <c r="T98" s="13"/>
      <c r="U98" s="13"/>
      <c r="V98" s="40"/>
      <c r="W98" s="13"/>
    </row>
    <row r="99" spans="1:23" ht="32.5" customHeight="1" x14ac:dyDescent="0.35">
      <c r="A99" s="14">
        <v>99</v>
      </c>
      <c r="B99" s="36" t="s">
        <v>267</v>
      </c>
      <c r="C99" s="36" t="s">
        <v>313</v>
      </c>
      <c r="D99" s="36" t="s">
        <v>314</v>
      </c>
      <c r="E99" s="20" t="s">
        <v>315</v>
      </c>
      <c r="F99" s="36" t="s">
        <v>316</v>
      </c>
      <c r="G99" s="36" t="s">
        <v>23</v>
      </c>
      <c r="H99" s="41">
        <v>18</v>
      </c>
      <c r="I99" s="36" t="s">
        <v>317</v>
      </c>
      <c r="J99" s="36" t="s">
        <v>24</v>
      </c>
      <c r="K99" s="36" t="s">
        <v>51</v>
      </c>
      <c r="L99" s="42">
        <v>10</v>
      </c>
      <c r="M99" s="21">
        <f t="shared" si="12"/>
        <v>45000</v>
      </c>
      <c r="N99" s="21">
        <f t="shared" si="17"/>
        <v>450000</v>
      </c>
      <c r="O99" s="21">
        <f>M99*1</f>
        <v>45000</v>
      </c>
      <c r="P99" s="21">
        <f>M99*6*0.8</f>
        <v>216000</v>
      </c>
      <c r="Q99" s="21">
        <f t="shared" si="15"/>
        <v>3085.7142857142858</v>
      </c>
      <c r="R99" s="21">
        <f t="shared" si="11"/>
        <v>12342.857142857143</v>
      </c>
      <c r="S99" s="13"/>
      <c r="T99" s="13"/>
      <c r="U99" s="13"/>
      <c r="V99" s="40"/>
      <c r="W99" s="13"/>
    </row>
    <row r="100" spans="1:23" ht="32.5" customHeight="1" x14ac:dyDescent="0.35">
      <c r="A100" s="14">
        <v>100</v>
      </c>
      <c r="B100" s="36" t="s">
        <v>267</v>
      </c>
      <c r="C100" s="36" t="s">
        <v>318</v>
      </c>
      <c r="D100" s="36" t="s">
        <v>319</v>
      </c>
      <c r="E100" s="36" t="s">
        <v>320</v>
      </c>
      <c r="F100" s="36" t="s">
        <v>303</v>
      </c>
      <c r="G100" s="36" t="s">
        <v>23</v>
      </c>
      <c r="H100" s="41">
        <v>7</v>
      </c>
      <c r="I100" s="36" t="s">
        <v>321</v>
      </c>
      <c r="J100" s="36" t="s">
        <v>272</v>
      </c>
      <c r="K100" s="36" t="s">
        <v>35</v>
      </c>
      <c r="L100" s="42">
        <v>9</v>
      </c>
      <c r="M100" s="39">
        <f t="shared" si="12"/>
        <v>17500</v>
      </c>
      <c r="N100" s="39">
        <f t="shared" si="17"/>
        <v>157500</v>
      </c>
      <c r="O100" s="39">
        <f>M100*2</f>
        <v>35000</v>
      </c>
      <c r="P100" s="39">
        <f>M100*7*0.8</f>
        <v>98000</v>
      </c>
      <c r="Q100" s="39">
        <f t="shared" si="15"/>
        <v>1400</v>
      </c>
      <c r="R100" s="39">
        <f t="shared" si="11"/>
        <v>5600</v>
      </c>
      <c r="S100" s="13"/>
      <c r="T100" s="13"/>
      <c r="U100" s="13"/>
      <c r="V100" s="40"/>
      <c r="W100" s="13"/>
    </row>
    <row r="101" spans="1:23" ht="32.5" customHeight="1" x14ac:dyDescent="0.35">
      <c r="A101" s="14">
        <v>101</v>
      </c>
      <c r="B101" s="36" t="s">
        <v>267</v>
      </c>
      <c r="C101" s="36" t="s">
        <v>322</v>
      </c>
      <c r="D101" s="36" t="s">
        <v>323</v>
      </c>
      <c r="E101" s="20" t="s">
        <v>311</v>
      </c>
      <c r="F101" s="36" t="s">
        <v>271</v>
      </c>
      <c r="G101" s="36" t="s">
        <v>29</v>
      </c>
      <c r="H101" s="37">
        <v>0.26</v>
      </c>
      <c r="I101" s="36" t="s">
        <v>324</v>
      </c>
      <c r="J101" s="36" t="s">
        <v>272</v>
      </c>
      <c r="K101" s="36" t="s">
        <v>51</v>
      </c>
      <c r="L101" s="42">
        <v>12</v>
      </c>
      <c r="M101" s="21">
        <f t="shared" si="12"/>
        <v>650</v>
      </c>
      <c r="N101" s="21">
        <f t="shared" si="17"/>
        <v>7800</v>
      </c>
      <c r="O101" s="21">
        <f>M101*2</f>
        <v>1300</v>
      </c>
      <c r="P101" s="21">
        <f>M101*8*0.8</f>
        <v>4160</v>
      </c>
      <c r="Q101" s="21">
        <f t="shared" si="15"/>
        <v>59.428571428571431</v>
      </c>
      <c r="R101" s="21">
        <f t="shared" si="11"/>
        <v>237.71428571428572</v>
      </c>
      <c r="S101" s="13"/>
      <c r="T101" s="13"/>
      <c r="U101" s="13"/>
      <c r="V101" s="40"/>
      <c r="W101" s="13"/>
    </row>
    <row r="102" spans="1:23" ht="32.5" customHeight="1" x14ac:dyDescent="0.35">
      <c r="A102" s="14">
        <v>102</v>
      </c>
      <c r="B102" s="36" t="s">
        <v>267</v>
      </c>
      <c r="C102" s="36" t="s">
        <v>325</v>
      </c>
      <c r="D102" s="36" t="s">
        <v>326</v>
      </c>
      <c r="E102" s="36" t="s">
        <v>327</v>
      </c>
      <c r="F102" s="36" t="s">
        <v>303</v>
      </c>
      <c r="G102" s="36" t="s">
        <v>23</v>
      </c>
      <c r="H102" s="37">
        <v>5.4</v>
      </c>
      <c r="I102" s="36" t="s">
        <v>328</v>
      </c>
      <c r="J102" s="36" t="s">
        <v>272</v>
      </c>
      <c r="K102" s="36" t="s">
        <v>51</v>
      </c>
      <c r="L102" s="42">
        <v>10</v>
      </c>
      <c r="M102" s="39">
        <f t="shared" si="12"/>
        <v>13500</v>
      </c>
      <c r="N102" s="39">
        <f t="shared" si="17"/>
        <v>135000</v>
      </c>
      <c r="O102" s="39">
        <f>M102*2</f>
        <v>27000</v>
      </c>
      <c r="P102" s="39">
        <f>M102*8*0.8</f>
        <v>86400</v>
      </c>
      <c r="Q102" s="39">
        <f t="shared" si="15"/>
        <v>1234.2857142857142</v>
      </c>
      <c r="R102" s="39">
        <f t="shared" si="11"/>
        <v>4937.1428571428569</v>
      </c>
      <c r="S102" s="13"/>
      <c r="T102" s="13"/>
      <c r="U102" s="13"/>
      <c r="V102" s="40"/>
      <c r="W102" s="13"/>
    </row>
    <row r="103" spans="1:23" ht="32.5" customHeight="1" x14ac:dyDescent="0.35">
      <c r="A103" s="14">
        <v>103</v>
      </c>
      <c r="B103" s="36" t="s">
        <v>267</v>
      </c>
      <c r="C103" s="36" t="s">
        <v>329</v>
      </c>
      <c r="D103" s="36" t="s">
        <v>330</v>
      </c>
      <c r="E103" s="36" t="s">
        <v>331</v>
      </c>
      <c r="F103" s="36" t="s">
        <v>293</v>
      </c>
      <c r="G103" s="36" t="s">
        <v>23</v>
      </c>
      <c r="H103" s="37">
        <v>2.5</v>
      </c>
      <c r="I103" s="36" t="s">
        <v>332</v>
      </c>
      <c r="J103" s="36" t="s">
        <v>24</v>
      </c>
      <c r="K103" s="36" t="s">
        <v>35</v>
      </c>
      <c r="L103" s="42">
        <v>10</v>
      </c>
      <c r="M103" s="39">
        <f t="shared" si="12"/>
        <v>6250</v>
      </c>
      <c r="N103" s="39">
        <f t="shared" si="17"/>
        <v>62500</v>
      </c>
      <c r="O103" s="39">
        <f>M103*2</f>
        <v>12500</v>
      </c>
      <c r="P103" s="39">
        <f>M103*8*0.8</f>
        <v>40000</v>
      </c>
      <c r="Q103" s="39">
        <f t="shared" si="15"/>
        <v>571.42857142857144</v>
      </c>
      <c r="R103" s="39">
        <f t="shared" si="11"/>
        <v>2285.7142857142858</v>
      </c>
      <c r="S103" s="13"/>
      <c r="T103" s="13"/>
      <c r="U103" s="13"/>
      <c r="V103" s="40"/>
      <c r="W103" s="13"/>
    </row>
    <row r="104" spans="1:23" ht="32.5" customHeight="1" x14ac:dyDescent="0.35">
      <c r="A104" s="14">
        <v>104</v>
      </c>
      <c r="B104" s="36" t="s">
        <v>267</v>
      </c>
      <c r="C104" s="36" t="s">
        <v>301</v>
      </c>
      <c r="D104" s="36" t="s">
        <v>333</v>
      </c>
      <c r="E104" s="36" t="s">
        <v>334</v>
      </c>
      <c r="F104" s="36" t="s">
        <v>335</v>
      </c>
      <c r="G104" s="36" t="s">
        <v>84</v>
      </c>
      <c r="H104" s="37">
        <v>0.05</v>
      </c>
      <c r="I104" s="36" t="s">
        <v>336</v>
      </c>
      <c r="J104" s="36" t="s">
        <v>272</v>
      </c>
      <c r="K104" s="36" t="s">
        <v>51</v>
      </c>
      <c r="L104" s="42">
        <v>5</v>
      </c>
      <c r="M104" s="21">
        <f>H104*10000</f>
        <v>500</v>
      </c>
      <c r="N104" s="21">
        <f>M104*5</f>
        <v>2500</v>
      </c>
      <c r="O104" s="21">
        <f>M104*5</f>
        <v>2500</v>
      </c>
      <c r="P104" s="39">
        <v>0</v>
      </c>
      <c r="Q104" s="39">
        <f t="shared" si="15"/>
        <v>0</v>
      </c>
      <c r="R104" s="39">
        <f t="shared" si="11"/>
        <v>0</v>
      </c>
      <c r="S104" s="13"/>
      <c r="T104" s="13"/>
      <c r="U104" s="13"/>
      <c r="V104" s="40"/>
      <c r="W104" s="13"/>
    </row>
    <row r="105" spans="1:23" ht="32.5" customHeight="1" x14ac:dyDescent="0.35">
      <c r="A105" s="14">
        <v>105</v>
      </c>
      <c r="B105" s="36" t="s">
        <v>267</v>
      </c>
      <c r="C105" s="36" t="s">
        <v>337</v>
      </c>
      <c r="D105" s="36" t="s">
        <v>333</v>
      </c>
      <c r="E105" s="36" t="s">
        <v>338</v>
      </c>
      <c r="F105" s="36" t="s">
        <v>339</v>
      </c>
      <c r="G105" s="36" t="s">
        <v>84</v>
      </c>
      <c r="H105" s="37">
        <v>0.05</v>
      </c>
      <c r="I105" s="36" t="s">
        <v>340</v>
      </c>
      <c r="J105" s="36" t="s">
        <v>272</v>
      </c>
      <c r="K105" s="36" t="s">
        <v>51</v>
      </c>
      <c r="L105" s="42">
        <v>5</v>
      </c>
      <c r="M105" s="21">
        <f>H105*10000</f>
        <v>500</v>
      </c>
      <c r="N105" s="21">
        <f>M105*5</f>
        <v>2500</v>
      </c>
      <c r="O105" s="21">
        <f>M105*5</f>
        <v>2500</v>
      </c>
      <c r="P105" s="39">
        <v>0</v>
      </c>
      <c r="Q105" s="39">
        <f t="shared" si="15"/>
        <v>0</v>
      </c>
      <c r="R105" s="39">
        <f t="shared" si="11"/>
        <v>0</v>
      </c>
      <c r="S105" s="13"/>
      <c r="T105" s="13"/>
      <c r="U105" s="13"/>
      <c r="V105" s="40"/>
      <c r="W105" s="13"/>
    </row>
    <row r="106" spans="1:23" ht="32.5" customHeight="1" x14ac:dyDescent="0.35">
      <c r="A106" s="14">
        <v>106</v>
      </c>
      <c r="B106" s="36" t="s">
        <v>267</v>
      </c>
      <c r="C106" s="36" t="s">
        <v>341</v>
      </c>
      <c r="D106" s="36" t="s">
        <v>333</v>
      </c>
      <c r="E106" s="36" t="s">
        <v>342</v>
      </c>
      <c r="F106" s="36" t="s">
        <v>339</v>
      </c>
      <c r="G106" s="36" t="s">
        <v>84</v>
      </c>
      <c r="H106" s="37">
        <v>0.05</v>
      </c>
      <c r="I106" s="36" t="s">
        <v>343</v>
      </c>
      <c r="J106" s="36" t="s">
        <v>217</v>
      </c>
      <c r="K106" s="36" t="s">
        <v>51</v>
      </c>
      <c r="L106" s="42">
        <v>5</v>
      </c>
      <c r="M106" s="21">
        <f>H106*10000</f>
        <v>500</v>
      </c>
      <c r="N106" s="21">
        <f>M106*5</f>
        <v>2500</v>
      </c>
      <c r="O106" s="21">
        <f>M106*5</f>
        <v>2500</v>
      </c>
      <c r="P106" s="39">
        <v>0</v>
      </c>
      <c r="Q106" s="39">
        <f t="shared" si="15"/>
        <v>0</v>
      </c>
      <c r="R106" s="39">
        <f t="shared" si="11"/>
        <v>0</v>
      </c>
      <c r="S106" s="13"/>
      <c r="T106" s="13"/>
      <c r="U106" s="13"/>
      <c r="V106" s="40"/>
      <c r="W106" s="13"/>
    </row>
    <row r="107" spans="1:23" ht="32.5" customHeight="1" x14ac:dyDescent="0.35">
      <c r="A107" s="14">
        <v>107</v>
      </c>
      <c r="B107" s="36" t="s">
        <v>267</v>
      </c>
      <c r="C107" s="36" t="s">
        <v>344</v>
      </c>
      <c r="D107" s="36" t="s">
        <v>345</v>
      </c>
      <c r="E107" s="36" t="s">
        <v>346</v>
      </c>
      <c r="F107" s="36" t="s">
        <v>339</v>
      </c>
      <c r="G107" s="36" t="s">
        <v>84</v>
      </c>
      <c r="H107" s="37">
        <v>0.05</v>
      </c>
      <c r="I107" s="36" t="s">
        <v>347</v>
      </c>
      <c r="J107" s="36" t="s">
        <v>217</v>
      </c>
      <c r="K107" s="36" t="s">
        <v>51</v>
      </c>
      <c r="L107" s="42">
        <v>5</v>
      </c>
      <c r="M107" s="21">
        <f>H107*10000</f>
        <v>500</v>
      </c>
      <c r="N107" s="21">
        <f>M107*5</f>
        <v>2500</v>
      </c>
      <c r="O107" s="21">
        <f>M107*5</f>
        <v>2500</v>
      </c>
      <c r="P107" s="39">
        <v>0</v>
      </c>
      <c r="Q107" s="39">
        <f t="shared" si="15"/>
        <v>0</v>
      </c>
      <c r="R107" s="39">
        <f t="shared" si="11"/>
        <v>0</v>
      </c>
      <c r="S107" s="13"/>
      <c r="T107" s="13"/>
      <c r="U107" s="13"/>
      <c r="V107" s="40"/>
      <c r="W107" s="13"/>
    </row>
    <row r="108" spans="1:23" ht="32.5" customHeight="1" x14ac:dyDescent="0.35">
      <c r="A108" s="14">
        <v>108</v>
      </c>
      <c r="B108" s="36" t="s">
        <v>267</v>
      </c>
      <c r="C108" s="36" t="s">
        <v>341</v>
      </c>
      <c r="D108" s="36" t="s">
        <v>348</v>
      </c>
      <c r="E108" s="36" t="s">
        <v>349</v>
      </c>
      <c r="F108" s="36" t="s">
        <v>271</v>
      </c>
      <c r="G108" s="36" t="s">
        <v>29</v>
      </c>
      <c r="H108" s="37">
        <v>9.5</v>
      </c>
      <c r="I108" s="36" t="s">
        <v>350</v>
      </c>
      <c r="J108" s="36" t="s">
        <v>217</v>
      </c>
      <c r="K108" s="36" t="s">
        <v>51</v>
      </c>
      <c r="L108" s="42">
        <v>5</v>
      </c>
      <c r="M108" s="39">
        <f>H108*10000*0.25</f>
        <v>23750</v>
      </c>
      <c r="N108" s="39">
        <f>M108*L108</f>
        <v>118750</v>
      </c>
      <c r="O108" s="39">
        <f>M108*L108</f>
        <v>118750</v>
      </c>
      <c r="P108" s="39">
        <v>0</v>
      </c>
      <c r="Q108" s="39">
        <f t="shared" si="15"/>
        <v>0</v>
      </c>
      <c r="R108" s="39">
        <f t="shared" si="11"/>
        <v>0</v>
      </c>
      <c r="S108" s="13"/>
      <c r="T108" s="13"/>
      <c r="U108" s="13"/>
      <c r="V108" s="40"/>
      <c r="W108" s="13"/>
    </row>
    <row r="109" spans="1:23" ht="32.5" customHeight="1" x14ac:dyDescent="0.35">
      <c r="A109" s="14">
        <v>109</v>
      </c>
      <c r="B109" s="36" t="s">
        <v>267</v>
      </c>
      <c r="C109" s="36" t="s">
        <v>301</v>
      </c>
      <c r="D109" s="36" t="s">
        <v>333</v>
      </c>
      <c r="E109" s="36" t="s">
        <v>351</v>
      </c>
      <c r="F109" s="36" t="s">
        <v>271</v>
      </c>
      <c r="G109" s="36" t="s">
        <v>29</v>
      </c>
      <c r="H109" s="41">
        <v>9</v>
      </c>
      <c r="I109" s="36" t="s">
        <v>352</v>
      </c>
      <c r="J109" s="36" t="s">
        <v>217</v>
      </c>
      <c r="K109" s="36" t="s">
        <v>51</v>
      </c>
      <c r="L109" s="42">
        <v>5</v>
      </c>
      <c r="M109" s="39">
        <f>H109*10000*0.25</f>
        <v>22500</v>
      </c>
      <c r="N109" s="39">
        <f>M109*L109</f>
        <v>112500</v>
      </c>
      <c r="O109" s="39">
        <f>M109*L109</f>
        <v>112500</v>
      </c>
      <c r="P109" s="39">
        <v>0</v>
      </c>
      <c r="Q109" s="39">
        <f t="shared" si="15"/>
        <v>0</v>
      </c>
      <c r="R109" s="39">
        <f t="shared" si="11"/>
        <v>0</v>
      </c>
      <c r="S109" s="13"/>
      <c r="T109" s="13"/>
      <c r="U109" s="13"/>
      <c r="V109" s="40"/>
      <c r="W109" s="13"/>
    </row>
    <row r="110" spans="1:23" ht="32.5" customHeight="1" x14ac:dyDescent="0.35">
      <c r="A110" s="14">
        <v>110</v>
      </c>
      <c r="B110" s="36" t="s">
        <v>267</v>
      </c>
      <c r="C110" s="36" t="s">
        <v>353</v>
      </c>
      <c r="D110" s="36" t="s">
        <v>333</v>
      </c>
      <c r="E110" s="36" t="s">
        <v>354</v>
      </c>
      <c r="F110" s="36" t="s">
        <v>271</v>
      </c>
      <c r="G110" s="36" t="s">
        <v>29</v>
      </c>
      <c r="H110" s="37">
        <v>0.1</v>
      </c>
      <c r="I110" s="36" t="s">
        <v>355</v>
      </c>
      <c r="J110" s="36" t="s">
        <v>272</v>
      </c>
      <c r="K110" s="36" t="s">
        <v>51</v>
      </c>
      <c r="L110" s="42">
        <v>4</v>
      </c>
      <c r="M110" s="39">
        <f>H110*10000*0.25</f>
        <v>250</v>
      </c>
      <c r="N110" s="39">
        <f>M110*L110</f>
        <v>1000</v>
      </c>
      <c r="O110" s="39">
        <f>M110*L110</f>
        <v>1000</v>
      </c>
      <c r="P110" s="39">
        <v>0</v>
      </c>
      <c r="Q110" s="39">
        <f t="shared" si="15"/>
        <v>0</v>
      </c>
      <c r="R110" s="39">
        <f t="shared" si="11"/>
        <v>0</v>
      </c>
      <c r="S110" s="13"/>
      <c r="T110" s="13"/>
      <c r="U110" s="13"/>
      <c r="V110" s="40"/>
      <c r="W110" s="13"/>
    </row>
    <row r="111" spans="1:23" ht="32.5" customHeight="1" x14ac:dyDescent="0.35">
      <c r="A111" s="14">
        <v>111</v>
      </c>
      <c r="B111" s="36" t="s">
        <v>267</v>
      </c>
      <c r="C111" s="36" t="s">
        <v>318</v>
      </c>
      <c r="D111" s="36" t="s">
        <v>333</v>
      </c>
      <c r="E111" s="36" t="s">
        <v>356</v>
      </c>
      <c r="F111" s="36" t="s">
        <v>271</v>
      </c>
      <c r="G111" s="36" t="s">
        <v>29</v>
      </c>
      <c r="H111" s="41">
        <v>3</v>
      </c>
      <c r="I111" s="36" t="s">
        <v>357</v>
      </c>
      <c r="J111" s="36" t="s">
        <v>217</v>
      </c>
      <c r="K111" s="36" t="s">
        <v>51</v>
      </c>
      <c r="L111" s="42">
        <v>2</v>
      </c>
      <c r="M111" s="39">
        <f>H111*10000*0.25</f>
        <v>7500</v>
      </c>
      <c r="N111" s="39">
        <f>M111*L111</f>
        <v>15000</v>
      </c>
      <c r="O111" s="39">
        <f>M111*L111</f>
        <v>15000</v>
      </c>
      <c r="P111" s="39">
        <v>0</v>
      </c>
      <c r="Q111" s="39">
        <f t="shared" si="15"/>
        <v>0</v>
      </c>
      <c r="R111" s="39">
        <f t="shared" si="11"/>
        <v>0</v>
      </c>
      <c r="S111" s="13"/>
      <c r="T111" s="13"/>
      <c r="U111" s="13"/>
      <c r="V111" s="40"/>
      <c r="W111" s="13"/>
    </row>
    <row r="112" spans="1:23" ht="32.5" customHeight="1" x14ac:dyDescent="0.35">
      <c r="A112" s="14">
        <v>112</v>
      </c>
      <c r="B112" s="36" t="s">
        <v>267</v>
      </c>
      <c r="C112" s="36" t="s">
        <v>358</v>
      </c>
      <c r="D112" s="36" t="s">
        <v>333</v>
      </c>
      <c r="E112" s="36" t="s">
        <v>359</v>
      </c>
      <c r="F112" s="36" t="s">
        <v>339</v>
      </c>
      <c r="G112" s="36" t="s">
        <v>84</v>
      </c>
      <c r="H112" s="37">
        <v>0.1</v>
      </c>
      <c r="I112" s="36" t="s">
        <v>360</v>
      </c>
      <c r="J112" s="36" t="s">
        <v>217</v>
      </c>
      <c r="K112" s="36" t="s">
        <v>51</v>
      </c>
      <c r="L112" s="42">
        <v>6</v>
      </c>
      <c r="M112" s="21">
        <f>H112*10000</f>
        <v>1000</v>
      </c>
      <c r="N112" s="21">
        <f>M112*5</f>
        <v>5000</v>
      </c>
      <c r="O112" s="21">
        <f>M112*5</f>
        <v>5000</v>
      </c>
      <c r="P112" s="39">
        <v>0</v>
      </c>
      <c r="Q112" s="39">
        <f t="shared" si="15"/>
        <v>0</v>
      </c>
      <c r="R112" s="39">
        <f t="shared" si="11"/>
        <v>0</v>
      </c>
      <c r="S112" s="13"/>
      <c r="T112" s="13"/>
      <c r="U112" s="13"/>
      <c r="V112" s="40"/>
      <c r="W112" s="13"/>
    </row>
    <row r="113" spans="1:23" ht="32.5" customHeight="1" x14ac:dyDescent="0.35">
      <c r="A113" s="14">
        <v>113</v>
      </c>
      <c r="B113" s="36" t="s">
        <v>267</v>
      </c>
      <c r="C113" s="36" t="s">
        <v>361</v>
      </c>
      <c r="D113" s="36" t="s">
        <v>362</v>
      </c>
      <c r="E113" s="36" t="s">
        <v>363</v>
      </c>
      <c r="F113" s="36" t="s">
        <v>297</v>
      </c>
      <c r="G113" s="36" t="s">
        <v>23</v>
      </c>
      <c r="H113" s="37">
        <v>1.5</v>
      </c>
      <c r="I113" s="36" t="s">
        <v>364</v>
      </c>
      <c r="J113" s="36" t="s">
        <v>272</v>
      </c>
      <c r="K113" s="36" t="s">
        <v>51</v>
      </c>
      <c r="L113" s="42">
        <v>9</v>
      </c>
      <c r="M113" s="39">
        <f t="shared" ref="M113:M149" si="18">H113*10000*0.25</f>
        <v>3750</v>
      </c>
      <c r="N113" s="39">
        <f t="shared" ref="N113:N118" si="19">M113*L113</f>
        <v>33750</v>
      </c>
      <c r="O113" s="39">
        <f>M113*2</f>
        <v>7500</v>
      </c>
      <c r="P113" s="39">
        <f>M113*7*0.8</f>
        <v>21000</v>
      </c>
      <c r="Q113" s="39">
        <f t="shared" si="15"/>
        <v>300</v>
      </c>
      <c r="R113" s="39">
        <f t="shared" si="11"/>
        <v>1200</v>
      </c>
      <c r="S113" s="13"/>
      <c r="T113" s="13"/>
      <c r="U113" s="13"/>
      <c r="V113" s="40"/>
      <c r="W113" s="13"/>
    </row>
    <row r="114" spans="1:23" s="1" customFormat="1" ht="32.5" customHeight="1" x14ac:dyDescent="0.35">
      <c r="A114" s="14">
        <v>114</v>
      </c>
      <c r="B114" s="36" t="s">
        <v>267</v>
      </c>
      <c r="C114" s="36" t="s">
        <v>285</v>
      </c>
      <c r="D114" s="36" t="s">
        <v>362</v>
      </c>
      <c r="E114" s="36" t="s">
        <v>365</v>
      </c>
      <c r="F114" s="36" t="s">
        <v>297</v>
      </c>
      <c r="G114" s="36" t="s">
        <v>23</v>
      </c>
      <c r="H114" s="37">
        <v>0.55000000000000004</v>
      </c>
      <c r="I114" s="36" t="s">
        <v>366</v>
      </c>
      <c r="J114" s="36" t="s">
        <v>24</v>
      </c>
      <c r="K114" s="36" t="s">
        <v>35</v>
      </c>
      <c r="L114" s="17">
        <v>20</v>
      </c>
      <c r="M114" s="39">
        <f t="shared" si="18"/>
        <v>1375</v>
      </c>
      <c r="N114" s="39">
        <f t="shared" si="19"/>
        <v>27500</v>
      </c>
      <c r="O114" s="39">
        <f>M114*10</f>
        <v>13750</v>
      </c>
      <c r="P114" s="39">
        <f>M114*15*0.8</f>
        <v>16500</v>
      </c>
      <c r="Q114" s="39">
        <f t="shared" si="15"/>
        <v>235.71428571428572</v>
      </c>
      <c r="R114" s="39">
        <f t="shared" si="11"/>
        <v>942.85714285714289</v>
      </c>
      <c r="S114" s="13"/>
      <c r="T114" s="13"/>
      <c r="U114" s="13"/>
      <c r="V114" s="13"/>
      <c r="W114" s="13"/>
    </row>
    <row r="115" spans="1:23" s="1" customFormat="1" ht="32.5" customHeight="1" x14ac:dyDescent="0.35">
      <c r="A115" s="14">
        <v>115</v>
      </c>
      <c r="B115" s="36" t="s">
        <v>267</v>
      </c>
      <c r="C115" s="36" t="s">
        <v>367</v>
      </c>
      <c r="D115" s="36" t="s">
        <v>368</v>
      </c>
      <c r="E115" s="36" t="s">
        <v>369</v>
      </c>
      <c r="F115" s="36" t="s">
        <v>297</v>
      </c>
      <c r="G115" s="36" t="s">
        <v>23</v>
      </c>
      <c r="H115" s="37">
        <v>3.3</v>
      </c>
      <c r="I115" s="36" t="s">
        <v>370</v>
      </c>
      <c r="J115" s="36" t="s">
        <v>24</v>
      </c>
      <c r="K115" s="36" t="s">
        <v>51</v>
      </c>
      <c r="L115" s="17">
        <v>13</v>
      </c>
      <c r="M115" s="39">
        <f t="shared" si="18"/>
        <v>8250</v>
      </c>
      <c r="N115" s="39">
        <f t="shared" si="19"/>
        <v>107250</v>
      </c>
      <c r="O115" s="39">
        <f>M115*3</f>
        <v>24750</v>
      </c>
      <c r="P115" s="39">
        <f>M115*10*0.8</f>
        <v>66000</v>
      </c>
      <c r="Q115" s="39">
        <f t="shared" si="15"/>
        <v>942.85714285714289</v>
      </c>
      <c r="R115" s="39">
        <f t="shared" si="11"/>
        <v>3771.4285714285716</v>
      </c>
      <c r="S115" s="13"/>
      <c r="T115" s="13"/>
      <c r="U115" s="13"/>
      <c r="V115" s="13"/>
      <c r="W115" s="13"/>
    </row>
    <row r="116" spans="1:23" ht="32.5" customHeight="1" x14ac:dyDescent="0.35">
      <c r="A116" s="14">
        <v>116</v>
      </c>
      <c r="B116" s="36" t="s">
        <v>267</v>
      </c>
      <c r="C116" s="36" t="s">
        <v>322</v>
      </c>
      <c r="D116" s="36" t="s">
        <v>323</v>
      </c>
      <c r="E116" s="36" t="s">
        <v>371</v>
      </c>
      <c r="F116" s="36" t="s">
        <v>297</v>
      </c>
      <c r="G116" s="36" t="s">
        <v>23</v>
      </c>
      <c r="H116" s="37">
        <v>9.9</v>
      </c>
      <c r="I116" s="36" t="s">
        <v>372</v>
      </c>
      <c r="J116" s="36" t="s">
        <v>24</v>
      </c>
      <c r="K116" s="36" t="s">
        <v>51</v>
      </c>
      <c r="L116" s="42">
        <v>9</v>
      </c>
      <c r="M116" s="39">
        <f t="shared" si="18"/>
        <v>24750</v>
      </c>
      <c r="N116" s="39">
        <f t="shared" si="19"/>
        <v>222750</v>
      </c>
      <c r="O116" s="39">
        <f>M116*2</f>
        <v>49500</v>
      </c>
      <c r="P116" s="39">
        <f>M116*7*0.8</f>
        <v>138600</v>
      </c>
      <c r="Q116" s="39">
        <f t="shared" si="15"/>
        <v>1980</v>
      </c>
      <c r="R116" s="39">
        <f t="shared" si="11"/>
        <v>7920</v>
      </c>
      <c r="S116" s="13"/>
      <c r="T116" s="13"/>
      <c r="U116" s="13"/>
      <c r="V116" s="40"/>
      <c r="W116" s="13"/>
    </row>
    <row r="117" spans="1:23" ht="32.5" customHeight="1" x14ac:dyDescent="0.35">
      <c r="A117" s="14">
        <v>117</v>
      </c>
      <c r="B117" s="36" t="s">
        <v>267</v>
      </c>
      <c r="C117" s="36" t="s">
        <v>373</v>
      </c>
      <c r="D117" s="36" t="s">
        <v>374</v>
      </c>
      <c r="E117" s="36" t="s">
        <v>375</v>
      </c>
      <c r="F117" s="36" t="s">
        <v>297</v>
      </c>
      <c r="G117" s="36" t="s">
        <v>23</v>
      </c>
      <c r="H117" s="37">
        <v>7.7</v>
      </c>
      <c r="I117" s="36" t="s">
        <v>376</v>
      </c>
      <c r="J117" s="36" t="s">
        <v>272</v>
      </c>
      <c r="K117" s="36" t="s">
        <v>51</v>
      </c>
      <c r="L117" s="42">
        <v>9</v>
      </c>
      <c r="M117" s="39">
        <f t="shared" si="18"/>
        <v>19250</v>
      </c>
      <c r="N117" s="39">
        <f t="shared" si="19"/>
        <v>173250</v>
      </c>
      <c r="O117" s="39">
        <f>M117*2</f>
        <v>38500</v>
      </c>
      <c r="P117" s="39">
        <f>M117*7*0.8</f>
        <v>107800</v>
      </c>
      <c r="Q117" s="39">
        <f t="shared" si="15"/>
        <v>1540</v>
      </c>
      <c r="R117" s="39">
        <f t="shared" si="11"/>
        <v>6160</v>
      </c>
      <c r="S117" s="13"/>
      <c r="T117" s="13"/>
      <c r="U117" s="13"/>
      <c r="V117" s="40"/>
      <c r="W117" s="13"/>
    </row>
    <row r="118" spans="1:23" ht="32.5" customHeight="1" x14ac:dyDescent="0.35">
      <c r="A118" s="14">
        <v>118</v>
      </c>
      <c r="B118" s="36" t="s">
        <v>267</v>
      </c>
      <c r="C118" s="36" t="s">
        <v>377</v>
      </c>
      <c r="D118" s="36" t="s">
        <v>378</v>
      </c>
      <c r="E118" s="36" t="s">
        <v>379</v>
      </c>
      <c r="F118" s="36" t="s">
        <v>297</v>
      </c>
      <c r="G118" s="36" t="s">
        <v>23</v>
      </c>
      <c r="H118" s="41">
        <v>14</v>
      </c>
      <c r="I118" s="36" t="s">
        <v>380</v>
      </c>
      <c r="J118" s="36" t="s">
        <v>24</v>
      </c>
      <c r="K118" s="36" t="s">
        <v>51</v>
      </c>
      <c r="L118" s="42">
        <v>10</v>
      </c>
      <c r="M118" s="39">
        <f t="shared" si="18"/>
        <v>35000</v>
      </c>
      <c r="N118" s="39">
        <f t="shared" si="19"/>
        <v>350000</v>
      </c>
      <c r="O118" s="39">
        <f>M118*2</f>
        <v>70000</v>
      </c>
      <c r="P118" s="39">
        <f>M118*8*0.8</f>
        <v>224000</v>
      </c>
      <c r="Q118" s="39">
        <f t="shared" si="15"/>
        <v>3200</v>
      </c>
      <c r="R118" s="39">
        <f t="shared" si="11"/>
        <v>12800</v>
      </c>
      <c r="S118" s="13"/>
      <c r="T118" s="13"/>
      <c r="U118" s="13"/>
      <c r="V118" s="40"/>
      <c r="W118" s="13"/>
    </row>
    <row r="119" spans="1:23" s="1" customFormat="1" ht="32.5" customHeight="1" x14ac:dyDescent="0.35">
      <c r="A119" s="14">
        <v>119</v>
      </c>
      <c r="B119" s="36" t="s">
        <v>267</v>
      </c>
      <c r="C119" s="36" t="s">
        <v>381</v>
      </c>
      <c r="D119" s="36" t="s">
        <v>382</v>
      </c>
      <c r="E119" s="36" t="s">
        <v>383</v>
      </c>
      <c r="F119" s="36" t="s">
        <v>316</v>
      </c>
      <c r="G119" s="36" t="s">
        <v>23</v>
      </c>
      <c r="H119" s="37">
        <v>0.18</v>
      </c>
      <c r="I119" s="36" t="s">
        <v>384</v>
      </c>
      <c r="J119" s="36" t="s">
        <v>24</v>
      </c>
      <c r="K119" s="36" t="s">
        <v>25</v>
      </c>
      <c r="L119" s="24">
        <v>9</v>
      </c>
      <c r="M119" s="39">
        <f t="shared" si="18"/>
        <v>450</v>
      </c>
      <c r="N119" s="39">
        <f>M119*9</f>
        <v>4050</v>
      </c>
      <c r="O119" s="39">
        <f>M119*2</f>
        <v>900</v>
      </c>
      <c r="P119" s="39">
        <f>M119*7*0.8</f>
        <v>2520</v>
      </c>
      <c r="Q119" s="39">
        <f t="shared" si="15"/>
        <v>36</v>
      </c>
      <c r="R119" s="39">
        <f t="shared" si="11"/>
        <v>144</v>
      </c>
      <c r="S119" s="13"/>
      <c r="T119" s="13"/>
      <c r="U119" s="13"/>
      <c r="V119" s="13"/>
      <c r="W119" s="13"/>
    </row>
    <row r="120" spans="1:23" ht="32.5" customHeight="1" x14ac:dyDescent="0.35">
      <c r="A120" s="14">
        <v>120</v>
      </c>
      <c r="B120" s="36" t="s">
        <v>267</v>
      </c>
      <c r="C120" s="36" t="s">
        <v>385</v>
      </c>
      <c r="D120" s="36" t="s">
        <v>386</v>
      </c>
      <c r="E120" s="36" t="s">
        <v>387</v>
      </c>
      <c r="F120" s="36" t="s">
        <v>316</v>
      </c>
      <c r="G120" s="36" t="s">
        <v>23</v>
      </c>
      <c r="H120" s="37">
        <v>8.9</v>
      </c>
      <c r="I120" s="36" t="s">
        <v>388</v>
      </c>
      <c r="J120" s="36" t="s">
        <v>272</v>
      </c>
      <c r="K120" s="36" t="s">
        <v>51</v>
      </c>
      <c r="L120" s="42">
        <v>10</v>
      </c>
      <c r="M120" s="39">
        <f t="shared" si="18"/>
        <v>22250</v>
      </c>
      <c r="N120" s="39">
        <f t="shared" ref="N120:N183" si="20">M120*L120</f>
        <v>222500</v>
      </c>
      <c r="O120" s="39">
        <f>M120*2</f>
        <v>44500</v>
      </c>
      <c r="P120" s="39">
        <f>M120*8*0.8</f>
        <v>142400</v>
      </c>
      <c r="Q120" s="39">
        <f t="shared" si="15"/>
        <v>2034.2857142857142</v>
      </c>
      <c r="R120" s="39">
        <f t="shared" si="11"/>
        <v>8137.1428571428569</v>
      </c>
      <c r="S120" s="13"/>
      <c r="T120" s="13"/>
      <c r="U120" s="13"/>
      <c r="V120" s="40"/>
      <c r="W120" s="13"/>
    </row>
    <row r="121" spans="1:23" s="1" customFormat="1" ht="32.5" customHeight="1" x14ac:dyDescent="0.35">
      <c r="A121" s="14">
        <v>121</v>
      </c>
      <c r="B121" s="36" t="s">
        <v>267</v>
      </c>
      <c r="C121" s="36" t="s">
        <v>389</v>
      </c>
      <c r="D121" s="36" t="s">
        <v>390</v>
      </c>
      <c r="E121" s="36" t="s">
        <v>391</v>
      </c>
      <c r="F121" s="36" t="s">
        <v>297</v>
      </c>
      <c r="G121" s="36" t="s">
        <v>23</v>
      </c>
      <c r="H121" s="37">
        <v>3.5</v>
      </c>
      <c r="I121" s="36" t="s">
        <v>392</v>
      </c>
      <c r="J121" s="36" t="s">
        <v>272</v>
      </c>
      <c r="K121" s="36" t="s">
        <v>35</v>
      </c>
      <c r="L121" s="17">
        <v>20</v>
      </c>
      <c r="M121" s="39">
        <f t="shared" si="18"/>
        <v>8750</v>
      </c>
      <c r="N121" s="39">
        <f t="shared" si="20"/>
        <v>175000</v>
      </c>
      <c r="O121" s="39">
        <f>M121*10</f>
        <v>87500</v>
      </c>
      <c r="P121" s="39">
        <f>M121*15*0.8</f>
        <v>105000</v>
      </c>
      <c r="Q121" s="39">
        <f t="shared" si="15"/>
        <v>1500</v>
      </c>
      <c r="R121" s="39">
        <f t="shared" ref="R121:R184" si="21">Q121*4</f>
        <v>6000</v>
      </c>
      <c r="S121" s="13"/>
      <c r="T121" s="13"/>
      <c r="U121" s="13"/>
      <c r="V121" s="13"/>
      <c r="W121" s="13"/>
    </row>
    <row r="122" spans="1:23" ht="32.5" customHeight="1" x14ac:dyDescent="0.35">
      <c r="A122" s="14">
        <v>122</v>
      </c>
      <c r="B122" s="36" t="s">
        <v>267</v>
      </c>
      <c r="C122" s="36" t="s">
        <v>393</v>
      </c>
      <c r="D122" s="36" t="s">
        <v>394</v>
      </c>
      <c r="E122" s="36" t="s">
        <v>395</v>
      </c>
      <c r="F122" s="36" t="s">
        <v>297</v>
      </c>
      <c r="G122" s="36" t="s">
        <v>23</v>
      </c>
      <c r="H122" s="37">
        <v>1.4</v>
      </c>
      <c r="I122" s="36" t="s">
        <v>396</v>
      </c>
      <c r="J122" s="36" t="s">
        <v>24</v>
      </c>
      <c r="K122" s="36" t="s">
        <v>51</v>
      </c>
      <c r="L122" s="42">
        <v>12</v>
      </c>
      <c r="M122" s="39">
        <f t="shared" si="18"/>
        <v>3500</v>
      </c>
      <c r="N122" s="39">
        <f t="shared" si="20"/>
        <v>42000</v>
      </c>
      <c r="O122" s="39">
        <f>M122*2</f>
        <v>7000</v>
      </c>
      <c r="P122" s="39">
        <f>M122*10*0.8</f>
        <v>28000</v>
      </c>
      <c r="Q122" s="39">
        <f t="shared" si="15"/>
        <v>400</v>
      </c>
      <c r="R122" s="39">
        <f t="shared" si="21"/>
        <v>1600</v>
      </c>
      <c r="S122" s="13"/>
      <c r="T122" s="13"/>
      <c r="U122" s="13"/>
      <c r="V122" s="40"/>
      <c r="W122" s="13"/>
    </row>
    <row r="123" spans="1:23" s="1" customFormat="1" ht="32.5" customHeight="1" x14ac:dyDescent="0.35">
      <c r="A123" s="14">
        <v>123</v>
      </c>
      <c r="B123" s="36" t="s">
        <v>267</v>
      </c>
      <c r="C123" s="36" t="s">
        <v>397</v>
      </c>
      <c r="D123" s="36" t="s">
        <v>398</v>
      </c>
      <c r="E123" s="36" t="s">
        <v>399</v>
      </c>
      <c r="F123" s="36" t="s">
        <v>297</v>
      </c>
      <c r="G123" s="36" t="s">
        <v>23</v>
      </c>
      <c r="H123" s="37">
        <v>0.3</v>
      </c>
      <c r="I123" s="36" t="s">
        <v>400</v>
      </c>
      <c r="J123" s="36" t="s">
        <v>24</v>
      </c>
      <c r="K123" s="36" t="s">
        <v>35</v>
      </c>
      <c r="L123" s="17">
        <v>20</v>
      </c>
      <c r="M123" s="39">
        <f t="shared" si="18"/>
        <v>750</v>
      </c>
      <c r="N123" s="39">
        <f t="shared" si="20"/>
        <v>15000</v>
      </c>
      <c r="O123" s="39">
        <f>M123*10</f>
        <v>7500</v>
      </c>
      <c r="P123" s="39">
        <f>M123*15*0.8</f>
        <v>9000</v>
      </c>
      <c r="Q123" s="39">
        <f t="shared" si="15"/>
        <v>128.57142857142858</v>
      </c>
      <c r="R123" s="39">
        <f t="shared" si="21"/>
        <v>514.28571428571433</v>
      </c>
      <c r="S123" s="13"/>
      <c r="T123" s="13"/>
      <c r="U123" s="13"/>
      <c r="V123" s="13"/>
      <c r="W123" s="13"/>
    </row>
    <row r="124" spans="1:23" s="1" customFormat="1" ht="32.5" customHeight="1" x14ac:dyDescent="0.35">
      <c r="A124" s="14">
        <v>124</v>
      </c>
      <c r="B124" s="36" t="s">
        <v>267</v>
      </c>
      <c r="C124" s="36" t="s">
        <v>401</v>
      </c>
      <c r="D124" s="36" t="s">
        <v>402</v>
      </c>
      <c r="E124" s="36" t="s">
        <v>403</v>
      </c>
      <c r="F124" s="36" t="s">
        <v>297</v>
      </c>
      <c r="G124" s="36" t="s">
        <v>23</v>
      </c>
      <c r="H124" s="41">
        <v>15</v>
      </c>
      <c r="I124" s="36" t="s">
        <v>404</v>
      </c>
      <c r="J124" s="36" t="s">
        <v>24</v>
      </c>
      <c r="K124" s="36" t="s">
        <v>35</v>
      </c>
      <c r="L124" s="17">
        <v>18</v>
      </c>
      <c r="M124" s="39">
        <f t="shared" si="18"/>
        <v>37500</v>
      </c>
      <c r="N124" s="39">
        <f t="shared" si="20"/>
        <v>675000</v>
      </c>
      <c r="O124" s="39">
        <f>M124*10</f>
        <v>375000</v>
      </c>
      <c r="P124" s="39">
        <f>M124*8*0.8</f>
        <v>240000</v>
      </c>
      <c r="Q124" s="39">
        <f t="shared" si="15"/>
        <v>3428.5714285714284</v>
      </c>
      <c r="R124" s="39">
        <f t="shared" si="21"/>
        <v>13714.285714285714</v>
      </c>
      <c r="S124" s="13"/>
      <c r="T124" s="13"/>
      <c r="U124" s="13"/>
      <c r="V124" s="13"/>
      <c r="W124" s="13"/>
    </row>
    <row r="125" spans="1:23" s="1" customFormat="1" ht="32.5" customHeight="1" x14ac:dyDescent="0.35">
      <c r="A125" s="14">
        <v>125</v>
      </c>
      <c r="B125" s="36" t="s">
        <v>267</v>
      </c>
      <c r="C125" s="36" t="s">
        <v>405</v>
      </c>
      <c r="D125" s="36" t="s">
        <v>406</v>
      </c>
      <c r="E125" s="36" t="s">
        <v>407</v>
      </c>
      <c r="F125" s="36" t="s">
        <v>408</v>
      </c>
      <c r="G125" s="36" t="s">
        <v>23</v>
      </c>
      <c r="H125" s="37">
        <v>0.9</v>
      </c>
      <c r="I125" s="36" t="s">
        <v>409</v>
      </c>
      <c r="J125" s="36" t="s">
        <v>24</v>
      </c>
      <c r="K125" s="36" t="s">
        <v>51</v>
      </c>
      <c r="L125" s="17">
        <v>53</v>
      </c>
      <c r="M125" s="39">
        <f t="shared" si="18"/>
        <v>2250</v>
      </c>
      <c r="N125" s="39">
        <f t="shared" si="20"/>
        <v>119250</v>
      </c>
      <c r="O125" s="39">
        <f>M125*15</f>
        <v>33750</v>
      </c>
      <c r="P125" s="39">
        <f>M125*37*0.8</f>
        <v>66600</v>
      </c>
      <c r="Q125" s="39">
        <f t="shared" si="15"/>
        <v>951.42857142857144</v>
      </c>
      <c r="R125" s="39">
        <f t="shared" si="21"/>
        <v>3805.7142857142858</v>
      </c>
      <c r="S125" s="13"/>
      <c r="T125" s="13"/>
      <c r="U125" s="13"/>
      <c r="V125" s="13"/>
      <c r="W125" s="13"/>
    </row>
    <row r="126" spans="1:23" s="1" customFormat="1" ht="32.5" customHeight="1" x14ac:dyDescent="0.35">
      <c r="A126" s="14">
        <v>126</v>
      </c>
      <c r="B126" s="36" t="s">
        <v>267</v>
      </c>
      <c r="C126" s="36" t="s">
        <v>305</v>
      </c>
      <c r="D126" s="36" t="s">
        <v>394</v>
      </c>
      <c r="E126" s="36" t="s">
        <v>410</v>
      </c>
      <c r="F126" s="36" t="s">
        <v>297</v>
      </c>
      <c r="G126" s="36" t="s">
        <v>23</v>
      </c>
      <c r="H126" s="37">
        <v>0.4</v>
      </c>
      <c r="I126" s="110" t="s">
        <v>1378</v>
      </c>
      <c r="J126" s="36" t="s">
        <v>272</v>
      </c>
      <c r="K126" s="36" t="s">
        <v>51</v>
      </c>
      <c r="L126" s="17">
        <v>20</v>
      </c>
      <c r="M126" s="39">
        <f t="shared" si="18"/>
        <v>1000</v>
      </c>
      <c r="N126" s="39">
        <f t="shared" si="20"/>
        <v>20000</v>
      </c>
      <c r="O126" s="39">
        <f>M126*10</f>
        <v>10000</v>
      </c>
      <c r="P126" s="39">
        <f>M126*15*0.8</f>
        <v>12000</v>
      </c>
      <c r="Q126" s="39">
        <f t="shared" si="15"/>
        <v>171.42857142857142</v>
      </c>
      <c r="R126" s="39">
        <f t="shared" si="21"/>
        <v>685.71428571428567</v>
      </c>
      <c r="S126" s="13"/>
      <c r="T126" s="13"/>
      <c r="U126" s="13"/>
      <c r="V126" s="13"/>
      <c r="W126" s="13"/>
    </row>
    <row r="127" spans="1:23" s="1" customFormat="1" ht="32.5" customHeight="1" x14ac:dyDescent="0.35">
      <c r="A127" s="14">
        <v>127</v>
      </c>
      <c r="B127" s="36" t="s">
        <v>267</v>
      </c>
      <c r="C127" s="36" t="s">
        <v>367</v>
      </c>
      <c r="D127" s="36" t="s">
        <v>411</v>
      </c>
      <c r="E127" s="36" t="s">
        <v>410</v>
      </c>
      <c r="F127" s="36" t="s">
        <v>297</v>
      </c>
      <c r="G127" s="36" t="s">
        <v>23</v>
      </c>
      <c r="H127" s="37">
        <v>0.5</v>
      </c>
      <c r="I127" s="110" t="s">
        <v>1379</v>
      </c>
      <c r="J127" s="36" t="s">
        <v>272</v>
      </c>
      <c r="K127" s="36" t="s">
        <v>51</v>
      </c>
      <c r="L127" s="17">
        <v>20</v>
      </c>
      <c r="M127" s="39">
        <f t="shared" si="18"/>
        <v>1250</v>
      </c>
      <c r="N127" s="39">
        <f t="shared" si="20"/>
        <v>25000</v>
      </c>
      <c r="O127" s="39">
        <f>M127*10</f>
        <v>12500</v>
      </c>
      <c r="P127" s="39">
        <f>M127*15*0.8</f>
        <v>15000</v>
      </c>
      <c r="Q127" s="39">
        <f t="shared" si="15"/>
        <v>214.28571428571428</v>
      </c>
      <c r="R127" s="39">
        <f t="shared" si="21"/>
        <v>857.14285714285711</v>
      </c>
      <c r="S127" s="13"/>
      <c r="T127" s="13"/>
      <c r="U127" s="13"/>
      <c r="V127" s="13"/>
      <c r="W127" s="13"/>
    </row>
    <row r="128" spans="1:23" ht="32.5" customHeight="1" x14ac:dyDescent="0.35">
      <c r="A128" s="14">
        <v>128</v>
      </c>
      <c r="B128" s="36" t="s">
        <v>267</v>
      </c>
      <c r="C128" s="36" t="s">
        <v>344</v>
      </c>
      <c r="D128" s="36" t="s">
        <v>394</v>
      </c>
      <c r="E128" s="36" t="s">
        <v>412</v>
      </c>
      <c r="F128" s="36" t="s">
        <v>297</v>
      </c>
      <c r="G128" s="36" t="s">
        <v>23</v>
      </c>
      <c r="H128" s="37">
        <v>23.9</v>
      </c>
      <c r="I128" s="110" t="s">
        <v>1380</v>
      </c>
      <c r="J128" s="36" t="s">
        <v>272</v>
      </c>
      <c r="K128" s="36" t="s">
        <v>51</v>
      </c>
      <c r="L128" s="42">
        <v>9</v>
      </c>
      <c r="M128" s="39">
        <f t="shared" si="18"/>
        <v>59750</v>
      </c>
      <c r="N128" s="39">
        <f t="shared" si="20"/>
        <v>537750</v>
      </c>
      <c r="O128" s="39">
        <f>M128*2</f>
        <v>119500</v>
      </c>
      <c r="P128" s="39">
        <f>M128*7*0.8</f>
        <v>334600</v>
      </c>
      <c r="Q128" s="39">
        <f t="shared" si="15"/>
        <v>4780</v>
      </c>
      <c r="R128" s="39">
        <f t="shared" si="21"/>
        <v>19120</v>
      </c>
      <c r="S128" s="13"/>
      <c r="T128" s="13"/>
      <c r="U128" s="13"/>
      <c r="V128" s="40"/>
      <c r="W128" s="13"/>
    </row>
    <row r="129" spans="1:23" ht="32.5" customHeight="1" x14ac:dyDescent="0.35">
      <c r="A129" s="14">
        <v>129</v>
      </c>
      <c r="B129" s="36" t="s">
        <v>267</v>
      </c>
      <c r="C129" s="36" t="s">
        <v>310</v>
      </c>
      <c r="D129" s="36" t="s">
        <v>413</v>
      </c>
      <c r="E129" s="36" t="s">
        <v>414</v>
      </c>
      <c r="F129" s="36" t="s">
        <v>297</v>
      </c>
      <c r="G129" s="36" t="s">
        <v>23</v>
      </c>
      <c r="H129" s="37">
        <v>0.8</v>
      </c>
      <c r="I129" s="110" t="s">
        <v>1435</v>
      </c>
      <c r="J129" s="36" t="s">
        <v>272</v>
      </c>
      <c r="K129" s="36" t="s">
        <v>51</v>
      </c>
      <c r="L129" s="42">
        <v>10</v>
      </c>
      <c r="M129" s="39">
        <f t="shared" si="18"/>
        <v>2000</v>
      </c>
      <c r="N129" s="39">
        <f t="shared" si="20"/>
        <v>20000</v>
      </c>
      <c r="O129" s="39">
        <f>M129*3</f>
        <v>6000</v>
      </c>
      <c r="P129" s="39">
        <f>M129*8*0.8</f>
        <v>12800</v>
      </c>
      <c r="Q129" s="39">
        <f t="shared" si="15"/>
        <v>182.85714285714286</v>
      </c>
      <c r="R129" s="39">
        <f t="shared" si="21"/>
        <v>731.42857142857144</v>
      </c>
      <c r="S129" s="13"/>
      <c r="T129" s="13"/>
      <c r="U129" s="13"/>
      <c r="V129" s="40"/>
      <c r="W129" s="13"/>
    </row>
    <row r="130" spans="1:23" ht="32.5" customHeight="1" x14ac:dyDescent="0.35">
      <c r="A130" s="14">
        <v>130</v>
      </c>
      <c r="B130" s="36" t="s">
        <v>267</v>
      </c>
      <c r="C130" s="36" t="s">
        <v>415</v>
      </c>
      <c r="D130" s="36" t="s">
        <v>416</v>
      </c>
      <c r="E130" s="20" t="s">
        <v>414</v>
      </c>
      <c r="F130" s="36" t="s">
        <v>297</v>
      </c>
      <c r="G130" s="36" t="s">
        <v>23</v>
      </c>
      <c r="H130" s="37">
        <v>72.3</v>
      </c>
      <c r="I130" s="110" t="s">
        <v>1436</v>
      </c>
      <c r="J130" s="36" t="s">
        <v>272</v>
      </c>
      <c r="K130" s="36" t="s">
        <v>51</v>
      </c>
      <c r="L130" s="42">
        <v>8</v>
      </c>
      <c r="M130" s="21">
        <f t="shared" si="18"/>
        <v>180750</v>
      </c>
      <c r="N130" s="21">
        <f t="shared" si="20"/>
        <v>1446000</v>
      </c>
      <c r="O130" s="21">
        <f>M130*3</f>
        <v>542250</v>
      </c>
      <c r="P130" s="21">
        <f>M130*8*0.8</f>
        <v>1156800</v>
      </c>
      <c r="Q130" s="21">
        <f t="shared" si="15"/>
        <v>16525.714285714286</v>
      </c>
      <c r="R130" s="21">
        <f t="shared" si="21"/>
        <v>66102.857142857145</v>
      </c>
      <c r="S130" s="13"/>
      <c r="T130" s="13"/>
      <c r="U130" s="13"/>
      <c r="V130" s="40"/>
      <c r="W130" s="13"/>
    </row>
    <row r="131" spans="1:23" ht="32.5" customHeight="1" x14ac:dyDescent="0.35">
      <c r="A131" s="14">
        <v>131</v>
      </c>
      <c r="B131" s="36" t="s">
        <v>267</v>
      </c>
      <c r="C131" s="36" t="s">
        <v>318</v>
      </c>
      <c r="D131" s="36" t="s">
        <v>417</v>
      </c>
      <c r="E131" s="20" t="s">
        <v>418</v>
      </c>
      <c r="F131" s="36" t="s">
        <v>297</v>
      </c>
      <c r="G131" s="36" t="s">
        <v>23</v>
      </c>
      <c r="H131" s="37">
        <v>13.9</v>
      </c>
      <c r="I131" s="110" t="s">
        <v>1437</v>
      </c>
      <c r="J131" s="36" t="s">
        <v>272</v>
      </c>
      <c r="K131" s="36" t="s">
        <v>51</v>
      </c>
      <c r="L131" s="42">
        <v>7</v>
      </c>
      <c r="M131" s="21">
        <f t="shared" si="18"/>
        <v>34750</v>
      </c>
      <c r="N131" s="21">
        <f t="shared" si="20"/>
        <v>243250</v>
      </c>
      <c r="O131" s="21">
        <f>M131*2</f>
        <v>69500</v>
      </c>
      <c r="P131" s="21">
        <f>M131*6*0.8</f>
        <v>166800</v>
      </c>
      <c r="Q131" s="21">
        <f t="shared" si="15"/>
        <v>2382.8571428571427</v>
      </c>
      <c r="R131" s="21">
        <f t="shared" si="21"/>
        <v>9531.4285714285706</v>
      </c>
      <c r="S131" s="13"/>
      <c r="T131" s="13"/>
      <c r="U131" s="13"/>
      <c r="V131" s="40"/>
      <c r="W131" s="13"/>
    </row>
    <row r="132" spans="1:23" ht="32.5" customHeight="1" x14ac:dyDescent="0.35">
      <c r="A132" s="14">
        <v>132</v>
      </c>
      <c r="B132" s="36" t="s">
        <v>267</v>
      </c>
      <c r="C132" s="36" t="s">
        <v>419</v>
      </c>
      <c r="D132" s="36" t="s">
        <v>413</v>
      </c>
      <c r="E132" s="36" t="s">
        <v>418</v>
      </c>
      <c r="F132" s="36" t="s">
        <v>297</v>
      </c>
      <c r="G132" s="36" t="s">
        <v>23</v>
      </c>
      <c r="H132" s="37">
        <v>17.899999999999999</v>
      </c>
      <c r="I132" s="110" t="s">
        <v>1438</v>
      </c>
      <c r="J132" s="36" t="s">
        <v>272</v>
      </c>
      <c r="K132" s="36" t="s">
        <v>51</v>
      </c>
      <c r="L132" s="42">
        <v>8</v>
      </c>
      <c r="M132" s="39">
        <f t="shared" si="18"/>
        <v>44750</v>
      </c>
      <c r="N132" s="39">
        <f t="shared" si="20"/>
        <v>358000</v>
      </c>
      <c r="O132" s="39">
        <f>M132*2</f>
        <v>89500</v>
      </c>
      <c r="P132" s="39">
        <f>M132*6*0.8</f>
        <v>214800</v>
      </c>
      <c r="Q132" s="39">
        <f t="shared" si="15"/>
        <v>3068.5714285714284</v>
      </c>
      <c r="R132" s="39">
        <f t="shared" si="21"/>
        <v>12274.285714285714</v>
      </c>
      <c r="S132" s="13"/>
      <c r="T132" s="13"/>
      <c r="U132" s="13"/>
      <c r="V132" s="40"/>
      <c r="W132" s="13"/>
    </row>
    <row r="133" spans="1:23" ht="32.5" customHeight="1" x14ac:dyDescent="0.35">
      <c r="A133" s="14">
        <v>133</v>
      </c>
      <c r="B133" s="43" t="s">
        <v>420</v>
      </c>
      <c r="C133" s="43" t="s">
        <v>421</v>
      </c>
      <c r="D133" s="43" t="s">
        <v>422</v>
      </c>
      <c r="E133" s="43" t="s">
        <v>423</v>
      </c>
      <c r="F133" s="43" t="s">
        <v>424</v>
      </c>
      <c r="G133" s="43" t="s">
        <v>29</v>
      </c>
      <c r="H133" s="44">
        <v>1.5699999999999999E-2</v>
      </c>
      <c r="I133" s="109" t="s">
        <v>1362</v>
      </c>
      <c r="J133" s="43" t="s">
        <v>425</v>
      </c>
      <c r="K133" s="43" t="s">
        <v>25</v>
      </c>
      <c r="L133" s="42">
        <v>3</v>
      </c>
      <c r="M133" s="45">
        <f t="shared" si="18"/>
        <v>39.25</v>
      </c>
      <c r="N133" s="45">
        <f t="shared" si="20"/>
        <v>117.75</v>
      </c>
      <c r="O133" s="45">
        <f>M133*L133</f>
        <v>117.75</v>
      </c>
      <c r="P133" s="45">
        <v>0</v>
      </c>
      <c r="Q133" s="45">
        <f t="shared" si="15"/>
        <v>0</v>
      </c>
      <c r="R133" s="45">
        <f t="shared" si="21"/>
        <v>0</v>
      </c>
      <c r="S133" s="13"/>
      <c r="T133" s="13"/>
      <c r="U133" s="13"/>
      <c r="V133" s="40"/>
      <c r="W133" s="13"/>
    </row>
    <row r="134" spans="1:23" ht="32.5" customHeight="1" x14ac:dyDescent="0.35">
      <c r="A134" s="14">
        <v>134</v>
      </c>
      <c r="B134" s="43" t="s">
        <v>420</v>
      </c>
      <c r="C134" s="43" t="s">
        <v>426</v>
      </c>
      <c r="D134" s="43" t="s">
        <v>427</v>
      </c>
      <c r="E134" s="43" t="s">
        <v>428</v>
      </c>
      <c r="F134" s="43" t="s">
        <v>429</v>
      </c>
      <c r="G134" s="43" t="s">
        <v>23</v>
      </c>
      <c r="H134" s="44">
        <v>6.98</v>
      </c>
      <c r="I134" s="109" t="s">
        <v>1363</v>
      </c>
      <c r="J134" s="43" t="s">
        <v>24</v>
      </c>
      <c r="K134" s="43" t="s">
        <v>25</v>
      </c>
      <c r="L134" s="42">
        <v>3</v>
      </c>
      <c r="M134" s="45">
        <f t="shared" si="18"/>
        <v>17450</v>
      </c>
      <c r="N134" s="45">
        <f t="shared" si="20"/>
        <v>52350</v>
      </c>
      <c r="O134" s="45">
        <f>M134*1</f>
        <v>17450</v>
      </c>
      <c r="P134" s="45">
        <f>M134*2*0.8</f>
        <v>27920</v>
      </c>
      <c r="Q134" s="45">
        <f t="shared" si="15"/>
        <v>398.85714285714283</v>
      </c>
      <c r="R134" s="45">
        <f t="shared" si="21"/>
        <v>1595.4285714285713</v>
      </c>
      <c r="S134" s="13"/>
      <c r="T134" s="13"/>
      <c r="U134" s="13"/>
      <c r="V134" s="40"/>
      <c r="W134" s="13"/>
    </row>
    <row r="135" spans="1:23" ht="32.5" customHeight="1" x14ac:dyDescent="0.35">
      <c r="A135" s="14">
        <v>135</v>
      </c>
      <c r="B135" s="43" t="s">
        <v>420</v>
      </c>
      <c r="C135" s="43" t="s">
        <v>430</v>
      </c>
      <c r="D135" s="43" t="s">
        <v>431</v>
      </c>
      <c r="E135" s="43" t="s">
        <v>428</v>
      </c>
      <c r="F135" s="43" t="s">
        <v>432</v>
      </c>
      <c r="G135" s="43" t="s">
        <v>113</v>
      </c>
      <c r="H135" s="44">
        <v>0.8</v>
      </c>
      <c r="I135" s="109" t="s">
        <v>1364</v>
      </c>
      <c r="J135" s="43" t="s">
        <v>433</v>
      </c>
      <c r="K135" s="43" t="s">
        <v>25</v>
      </c>
      <c r="L135" s="42">
        <v>3</v>
      </c>
      <c r="M135" s="45">
        <f t="shared" si="18"/>
        <v>2000</v>
      </c>
      <c r="N135" s="45">
        <f t="shared" si="20"/>
        <v>6000</v>
      </c>
      <c r="O135" s="45">
        <f>M135*L135</f>
        <v>6000</v>
      </c>
      <c r="P135" s="45">
        <v>0</v>
      </c>
      <c r="Q135" s="45">
        <f t="shared" si="15"/>
        <v>0</v>
      </c>
      <c r="R135" s="45">
        <f t="shared" si="21"/>
        <v>0</v>
      </c>
      <c r="S135" s="13"/>
      <c r="T135" s="13"/>
      <c r="U135" s="13"/>
      <c r="V135" s="40"/>
      <c r="W135" s="13"/>
    </row>
    <row r="136" spans="1:23" ht="32.5" customHeight="1" x14ac:dyDescent="0.35">
      <c r="A136" s="14">
        <v>136</v>
      </c>
      <c r="B136" s="43" t="s">
        <v>420</v>
      </c>
      <c r="C136" s="43" t="s">
        <v>434</v>
      </c>
      <c r="D136" s="43" t="s">
        <v>435</v>
      </c>
      <c r="E136" s="43" t="s">
        <v>436</v>
      </c>
      <c r="F136" s="43" t="s">
        <v>437</v>
      </c>
      <c r="G136" s="43" t="s">
        <v>29</v>
      </c>
      <c r="H136" s="44">
        <v>0.09</v>
      </c>
      <c r="I136" s="109" t="s">
        <v>1365</v>
      </c>
      <c r="J136" s="43" t="s">
        <v>433</v>
      </c>
      <c r="K136" s="43" t="s">
        <v>25</v>
      </c>
      <c r="L136" s="42">
        <v>5</v>
      </c>
      <c r="M136" s="45">
        <f t="shared" si="18"/>
        <v>225</v>
      </c>
      <c r="N136" s="45">
        <f t="shared" si="20"/>
        <v>1125</v>
      </c>
      <c r="O136" s="45">
        <f>M136*L136</f>
        <v>1125</v>
      </c>
      <c r="P136" s="45">
        <v>0</v>
      </c>
      <c r="Q136" s="45">
        <f t="shared" ref="Q136:Q199" si="22">P136/70</f>
        <v>0</v>
      </c>
      <c r="R136" s="45">
        <f t="shared" si="21"/>
        <v>0</v>
      </c>
      <c r="S136" s="13"/>
      <c r="T136" s="13"/>
      <c r="U136" s="13"/>
      <c r="V136" s="40"/>
      <c r="W136" s="13"/>
    </row>
    <row r="137" spans="1:23" ht="32.5" customHeight="1" x14ac:dyDescent="0.35">
      <c r="A137" s="14">
        <v>137</v>
      </c>
      <c r="B137" s="43" t="s">
        <v>420</v>
      </c>
      <c r="C137" s="43" t="s">
        <v>438</v>
      </c>
      <c r="D137" s="43" t="s">
        <v>439</v>
      </c>
      <c r="E137" s="43" t="s">
        <v>440</v>
      </c>
      <c r="F137" s="43" t="s">
        <v>441</v>
      </c>
      <c r="G137" s="43" t="s">
        <v>23</v>
      </c>
      <c r="H137" s="44">
        <v>1.5</v>
      </c>
      <c r="I137" s="109" t="s">
        <v>1366</v>
      </c>
      <c r="J137" s="43" t="s">
        <v>24</v>
      </c>
      <c r="K137" s="43" t="s">
        <v>51</v>
      </c>
      <c r="L137" s="42">
        <v>13</v>
      </c>
      <c r="M137" s="45">
        <f t="shared" si="18"/>
        <v>3750</v>
      </c>
      <c r="N137" s="45">
        <f t="shared" si="20"/>
        <v>48750</v>
      </c>
      <c r="O137" s="45">
        <f>M137*3</f>
        <v>11250</v>
      </c>
      <c r="P137" s="45">
        <f>M137*10*0.8</f>
        <v>30000</v>
      </c>
      <c r="Q137" s="45">
        <f t="shared" si="22"/>
        <v>428.57142857142856</v>
      </c>
      <c r="R137" s="45">
        <f t="shared" si="21"/>
        <v>1714.2857142857142</v>
      </c>
      <c r="S137" s="13"/>
      <c r="T137" s="13"/>
      <c r="U137" s="13"/>
      <c r="V137" s="40"/>
      <c r="W137" s="13"/>
    </row>
    <row r="138" spans="1:23" ht="32.5" customHeight="1" x14ac:dyDescent="0.35">
      <c r="A138" s="14">
        <v>138</v>
      </c>
      <c r="B138" s="43" t="s">
        <v>420</v>
      </c>
      <c r="C138" s="43" t="s">
        <v>442</v>
      </c>
      <c r="D138" s="43" t="s">
        <v>443</v>
      </c>
      <c r="E138" s="43" t="s">
        <v>440</v>
      </c>
      <c r="F138" s="43" t="s">
        <v>441</v>
      </c>
      <c r="G138" s="43" t="s">
        <v>23</v>
      </c>
      <c r="H138" s="44">
        <v>30.7</v>
      </c>
      <c r="I138" s="109" t="s">
        <v>1367</v>
      </c>
      <c r="J138" s="43" t="s">
        <v>24</v>
      </c>
      <c r="K138" s="43" t="s">
        <v>51</v>
      </c>
      <c r="L138" s="42">
        <v>10</v>
      </c>
      <c r="M138" s="45">
        <f t="shared" si="18"/>
        <v>76750</v>
      </c>
      <c r="N138" s="45">
        <f t="shared" si="20"/>
        <v>767500</v>
      </c>
      <c r="O138" s="45">
        <f>M138*2</f>
        <v>153500</v>
      </c>
      <c r="P138" s="45">
        <f>M138*8*0.8</f>
        <v>491200</v>
      </c>
      <c r="Q138" s="45">
        <f t="shared" si="22"/>
        <v>7017.1428571428569</v>
      </c>
      <c r="R138" s="45">
        <f t="shared" si="21"/>
        <v>28068.571428571428</v>
      </c>
      <c r="S138" s="13"/>
      <c r="T138" s="13"/>
      <c r="U138" s="13"/>
      <c r="V138" s="40"/>
      <c r="W138" s="13"/>
    </row>
    <row r="139" spans="1:23" ht="32.5" customHeight="1" x14ac:dyDescent="0.35">
      <c r="A139" s="14">
        <v>139</v>
      </c>
      <c r="B139" s="43" t="s">
        <v>420</v>
      </c>
      <c r="C139" s="43" t="s">
        <v>444</v>
      </c>
      <c r="D139" s="43" t="s">
        <v>445</v>
      </c>
      <c r="E139" s="43" t="s">
        <v>446</v>
      </c>
      <c r="F139" s="43" t="s">
        <v>447</v>
      </c>
      <c r="G139" s="43" t="s">
        <v>23</v>
      </c>
      <c r="H139" s="44">
        <v>23.73</v>
      </c>
      <c r="I139" s="109" t="s">
        <v>1368</v>
      </c>
      <c r="J139" s="43" t="s">
        <v>24</v>
      </c>
      <c r="K139" s="43" t="s">
        <v>51</v>
      </c>
      <c r="L139" s="42">
        <v>7</v>
      </c>
      <c r="M139" s="45">
        <f t="shared" si="18"/>
        <v>59325</v>
      </c>
      <c r="N139" s="45">
        <f t="shared" si="20"/>
        <v>415275</v>
      </c>
      <c r="O139" s="45">
        <f>M139*2</f>
        <v>118650</v>
      </c>
      <c r="P139" s="45">
        <f>M139*6*0.8</f>
        <v>284760</v>
      </c>
      <c r="Q139" s="45">
        <f t="shared" si="22"/>
        <v>4068</v>
      </c>
      <c r="R139" s="45">
        <f t="shared" si="21"/>
        <v>16272</v>
      </c>
      <c r="S139" s="13"/>
      <c r="T139" s="13"/>
      <c r="U139" s="13"/>
      <c r="V139" s="40"/>
      <c r="W139" s="13"/>
    </row>
    <row r="140" spans="1:23" ht="32.5" customHeight="1" x14ac:dyDescent="0.35">
      <c r="A140" s="14">
        <v>140</v>
      </c>
      <c r="B140" s="43" t="s">
        <v>420</v>
      </c>
      <c r="C140" s="43" t="s">
        <v>448</v>
      </c>
      <c r="D140" s="43" t="s">
        <v>436</v>
      </c>
      <c r="E140" s="43" t="s">
        <v>449</v>
      </c>
      <c r="F140" s="43" t="s">
        <v>450</v>
      </c>
      <c r="G140" s="43" t="s">
        <v>23</v>
      </c>
      <c r="H140" s="46">
        <v>22</v>
      </c>
      <c r="I140" s="109" t="s">
        <v>1369</v>
      </c>
      <c r="J140" s="43" t="s">
        <v>24</v>
      </c>
      <c r="K140" s="43" t="s">
        <v>51</v>
      </c>
      <c r="L140" s="42">
        <v>8</v>
      </c>
      <c r="M140" s="45">
        <f t="shared" si="18"/>
        <v>55000</v>
      </c>
      <c r="N140" s="45">
        <f t="shared" si="20"/>
        <v>440000</v>
      </c>
      <c r="O140" s="45">
        <f>M140*2</f>
        <v>110000</v>
      </c>
      <c r="P140" s="45">
        <f>M140*6*0.8</f>
        <v>264000</v>
      </c>
      <c r="Q140" s="45">
        <f t="shared" si="22"/>
        <v>3771.4285714285716</v>
      </c>
      <c r="R140" s="45">
        <f t="shared" si="21"/>
        <v>15085.714285714286</v>
      </c>
      <c r="S140" s="13"/>
      <c r="T140" s="13"/>
      <c r="U140" s="13"/>
      <c r="V140" s="40"/>
      <c r="W140" s="13"/>
    </row>
    <row r="141" spans="1:23" ht="32.5" customHeight="1" x14ac:dyDescent="0.35">
      <c r="A141" s="14">
        <v>141</v>
      </c>
      <c r="B141" s="43" t="s">
        <v>420</v>
      </c>
      <c r="C141" s="43" t="s">
        <v>451</v>
      </c>
      <c r="D141" s="43" t="s">
        <v>423</v>
      </c>
      <c r="E141" s="43" t="s">
        <v>440</v>
      </c>
      <c r="F141" s="43" t="s">
        <v>441</v>
      </c>
      <c r="G141" s="43" t="s">
        <v>23</v>
      </c>
      <c r="H141" s="44">
        <v>3.7</v>
      </c>
      <c r="I141" s="109" t="s">
        <v>1370</v>
      </c>
      <c r="J141" s="43" t="s">
        <v>24</v>
      </c>
      <c r="K141" s="43" t="s">
        <v>51</v>
      </c>
      <c r="L141" s="42">
        <v>13</v>
      </c>
      <c r="M141" s="45">
        <f t="shared" si="18"/>
        <v>9250</v>
      </c>
      <c r="N141" s="45">
        <f t="shared" si="20"/>
        <v>120250</v>
      </c>
      <c r="O141" s="45">
        <f>M141*3</f>
        <v>27750</v>
      </c>
      <c r="P141" s="45">
        <f>M141*10*0.8</f>
        <v>74000</v>
      </c>
      <c r="Q141" s="45">
        <f t="shared" si="22"/>
        <v>1057.1428571428571</v>
      </c>
      <c r="R141" s="45">
        <f t="shared" si="21"/>
        <v>4228.5714285714284</v>
      </c>
      <c r="S141" s="13"/>
      <c r="T141" s="13"/>
      <c r="U141" s="13"/>
      <c r="V141" s="40"/>
      <c r="W141" s="13"/>
    </row>
    <row r="142" spans="1:23" ht="32.5" customHeight="1" x14ac:dyDescent="0.35">
      <c r="A142" s="14">
        <v>142</v>
      </c>
      <c r="B142" s="43" t="s">
        <v>420</v>
      </c>
      <c r="C142" s="43" t="s">
        <v>452</v>
      </c>
      <c r="D142" s="43" t="s">
        <v>453</v>
      </c>
      <c r="E142" s="43" t="s">
        <v>454</v>
      </c>
      <c r="F142" s="43" t="s">
        <v>455</v>
      </c>
      <c r="G142" s="43" t="s">
        <v>23</v>
      </c>
      <c r="H142" s="44">
        <v>5.4</v>
      </c>
      <c r="I142" s="109" t="s">
        <v>1371</v>
      </c>
      <c r="J142" s="47" t="s">
        <v>30</v>
      </c>
      <c r="K142" s="47" t="s">
        <v>51</v>
      </c>
      <c r="L142" s="42">
        <v>10</v>
      </c>
      <c r="M142" s="45">
        <f t="shared" si="18"/>
        <v>13500</v>
      </c>
      <c r="N142" s="45">
        <f t="shared" si="20"/>
        <v>135000</v>
      </c>
      <c r="O142" s="45">
        <f>M142*2</f>
        <v>27000</v>
      </c>
      <c r="P142" s="45">
        <f>M142*8*0.8</f>
        <v>86400</v>
      </c>
      <c r="Q142" s="45">
        <f t="shared" si="22"/>
        <v>1234.2857142857142</v>
      </c>
      <c r="R142" s="45">
        <f t="shared" si="21"/>
        <v>4937.1428571428569</v>
      </c>
      <c r="S142" s="13"/>
      <c r="T142" s="13"/>
      <c r="U142" s="13"/>
      <c r="V142" s="40"/>
      <c r="W142" s="13"/>
    </row>
    <row r="143" spans="1:23" ht="32.5" customHeight="1" x14ac:dyDescent="0.35">
      <c r="A143" s="14">
        <v>143</v>
      </c>
      <c r="B143" s="43" t="s">
        <v>420</v>
      </c>
      <c r="C143" s="43" t="s">
        <v>456</v>
      </c>
      <c r="D143" s="43" t="s">
        <v>457</v>
      </c>
      <c r="E143" s="43" t="s">
        <v>446</v>
      </c>
      <c r="F143" s="43" t="s">
        <v>458</v>
      </c>
      <c r="G143" s="43" t="s">
        <v>23</v>
      </c>
      <c r="H143" s="44">
        <v>2.25</v>
      </c>
      <c r="I143" s="109" t="s">
        <v>1372</v>
      </c>
      <c r="J143" s="47" t="s">
        <v>30</v>
      </c>
      <c r="K143" s="47" t="s">
        <v>51</v>
      </c>
      <c r="L143" s="42">
        <v>8</v>
      </c>
      <c r="M143" s="45">
        <f t="shared" si="18"/>
        <v>5625</v>
      </c>
      <c r="N143" s="45">
        <f t="shared" si="20"/>
        <v>45000</v>
      </c>
      <c r="O143" s="45">
        <f>M143*2</f>
        <v>11250</v>
      </c>
      <c r="P143" s="45">
        <f>M143*6*0.8</f>
        <v>27000</v>
      </c>
      <c r="Q143" s="45">
        <f t="shared" si="22"/>
        <v>385.71428571428572</v>
      </c>
      <c r="R143" s="45">
        <f t="shared" si="21"/>
        <v>1542.8571428571429</v>
      </c>
      <c r="S143" s="13"/>
      <c r="T143" s="13"/>
      <c r="U143" s="13"/>
      <c r="V143" s="40"/>
      <c r="W143" s="13"/>
    </row>
    <row r="144" spans="1:23" ht="32.5" customHeight="1" x14ac:dyDescent="0.35">
      <c r="A144" s="14">
        <v>144</v>
      </c>
      <c r="B144" s="43" t="s">
        <v>420</v>
      </c>
      <c r="C144" s="43" t="s">
        <v>459</v>
      </c>
      <c r="D144" s="43" t="s">
        <v>460</v>
      </c>
      <c r="E144" s="43" t="s">
        <v>446</v>
      </c>
      <c r="F144" s="43" t="s">
        <v>458</v>
      </c>
      <c r="G144" s="43" t="s">
        <v>23</v>
      </c>
      <c r="H144" s="44">
        <v>1.1499999999999999</v>
      </c>
      <c r="I144" s="109" t="s">
        <v>1373</v>
      </c>
      <c r="J144" s="47" t="s">
        <v>30</v>
      </c>
      <c r="K144" s="47" t="s">
        <v>51</v>
      </c>
      <c r="L144" s="42">
        <v>8</v>
      </c>
      <c r="M144" s="45">
        <f t="shared" si="18"/>
        <v>2875</v>
      </c>
      <c r="N144" s="45">
        <f t="shared" si="20"/>
        <v>23000</v>
      </c>
      <c r="O144" s="45">
        <f>M144*2</f>
        <v>5750</v>
      </c>
      <c r="P144" s="45">
        <f>M144*6*0.8</f>
        <v>13800</v>
      </c>
      <c r="Q144" s="45">
        <f t="shared" si="22"/>
        <v>197.14285714285714</v>
      </c>
      <c r="R144" s="45">
        <f t="shared" si="21"/>
        <v>788.57142857142856</v>
      </c>
      <c r="S144" s="13"/>
      <c r="T144" s="13"/>
      <c r="U144" s="13"/>
      <c r="V144" s="40"/>
      <c r="W144" s="13"/>
    </row>
    <row r="145" spans="1:23" ht="32.5" customHeight="1" x14ac:dyDescent="0.35">
      <c r="A145" s="14">
        <v>145</v>
      </c>
      <c r="B145" s="43" t="s">
        <v>420</v>
      </c>
      <c r="C145" s="43" t="s">
        <v>461</v>
      </c>
      <c r="D145" s="43" t="s">
        <v>436</v>
      </c>
      <c r="E145" s="43" t="s">
        <v>462</v>
      </c>
      <c r="F145" s="43" t="s">
        <v>463</v>
      </c>
      <c r="G145" s="43" t="s">
        <v>29</v>
      </c>
      <c r="H145" s="44">
        <v>5.0999999999999996</v>
      </c>
      <c r="I145" s="109" t="s">
        <v>1374</v>
      </c>
      <c r="J145" s="47" t="s">
        <v>433</v>
      </c>
      <c r="K145" s="47" t="s">
        <v>51</v>
      </c>
      <c r="L145" s="42">
        <v>10</v>
      </c>
      <c r="M145" s="45">
        <f t="shared" si="18"/>
        <v>12750</v>
      </c>
      <c r="N145" s="45">
        <f t="shared" si="20"/>
        <v>127500</v>
      </c>
      <c r="O145" s="45">
        <f>M145*L145</f>
        <v>127500</v>
      </c>
      <c r="P145" s="45">
        <v>0</v>
      </c>
      <c r="Q145" s="45">
        <f t="shared" si="22"/>
        <v>0</v>
      </c>
      <c r="R145" s="45">
        <f t="shared" si="21"/>
        <v>0</v>
      </c>
      <c r="S145" s="13"/>
      <c r="T145" s="13"/>
      <c r="U145" s="13"/>
      <c r="V145" s="40"/>
      <c r="W145" s="13"/>
    </row>
    <row r="146" spans="1:23" ht="32.5" customHeight="1" x14ac:dyDescent="0.35">
      <c r="A146" s="14">
        <v>146</v>
      </c>
      <c r="B146" s="43" t="s">
        <v>420</v>
      </c>
      <c r="C146" s="43" t="s">
        <v>464</v>
      </c>
      <c r="D146" s="43" t="s">
        <v>465</v>
      </c>
      <c r="E146" s="43" t="s">
        <v>440</v>
      </c>
      <c r="F146" s="43" t="s">
        <v>441</v>
      </c>
      <c r="G146" s="43" t="s">
        <v>23</v>
      </c>
      <c r="H146" s="46">
        <v>12</v>
      </c>
      <c r="I146" s="109" t="s">
        <v>1375</v>
      </c>
      <c r="J146" s="47" t="s">
        <v>30</v>
      </c>
      <c r="K146" s="47" t="s">
        <v>51</v>
      </c>
      <c r="L146" s="42">
        <v>10</v>
      </c>
      <c r="M146" s="45">
        <f t="shared" si="18"/>
        <v>30000</v>
      </c>
      <c r="N146" s="45">
        <f t="shared" si="20"/>
        <v>300000</v>
      </c>
      <c r="O146" s="45">
        <f>M146*3</f>
        <v>90000</v>
      </c>
      <c r="P146" s="45">
        <f>M146*8*0.8</f>
        <v>192000</v>
      </c>
      <c r="Q146" s="45">
        <f t="shared" si="22"/>
        <v>2742.8571428571427</v>
      </c>
      <c r="R146" s="45">
        <f t="shared" si="21"/>
        <v>10971.428571428571</v>
      </c>
      <c r="S146" s="13"/>
      <c r="T146" s="13"/>
      <c r="U146" s="13"/>
      <c r="V146" s="40"/>
      <c r="W146" s="13"/>
    </row>
    <row r="147" spans="1:23" ht="32.5" customHeight="1" x14ac:dyDescent="0.35">
      <c r="A147" s="14">
        <v>147</v>
      </c>
      <c r="B147" s="43" t="s">
        <v>420</v>
      </c>
      <c r="C147" s="43" t="s">
        <v>466</v>
      </c>
      <c r="D147" s="43" t="s">
        <v>436</v>
      </c>
      <c r="E147" s="43" t="s">
        <v>440</v>
      </c>
      <c r="F147" s="43" t="s">
        <v>441</v>
      </c>
      <c r="G147" s="43" t="s">
        <v>23</v>
      </c>
      <c r="H147" s="44">
        <v>15.5</v>
      </c>
      <c r="I147" s="109" t="s">
        <v>1376</v>
      </c>
      <c r="J147" s="47" t="s">
        <v>24</v>
      </c>
      <c r="K147" s="47" t="s">
        <v>51</v>
      </c>
      <c r="L147" s="42">
        <v>10</v>
      </c>
      <c r="M147" s="45">
        <f t="shared" si="18"/>
        <v>38750</v>
      </c>
      <c r="N147" s="45">
        <f t="shared" si="20"/>
        <v>387500</v>
      </c>
      <c r="O147" s="45">
        <f>M147*3</f>
        <v>116250</v>
      </c>
      <c r="P147" s="45">
        <f>M147*8*0.8</f>
        <v>248000</v>
      </c>
      <c r="Q147" s="45">
        <f t="shared" si="22"/>
        <v>3542.8571428571427</v>
      </c>
      <c r="R147" s="45">
        <f t="shared" si="21"/>
        <v>14171.428571428571</v>
      </c>
      <c r="S147" s="13"/>
      <c r="T147" s="13"/>
      <c r="U147" s="13"/>
      <c r="V147" s="40"/>
      <c r="W147" s="13"/>
    </row>
    <row r="148" spans="1:23" ht="32.5" customHeight="1" x14ac:dyDescent="0.35">
      <c r="A148" s="14">
        <v>148</v>
      </c>
      <c r="B148" s="43" t="s">
        <v>420</v>
      </c>
      <c r="C148" s="43" t="s">
        <v>467</v>
      </c>
      <c r="D148" s="43" t="s">
        <v>453</v>
      </c>
      <c r="E148" s="43" t="s">
        <v>440</v>
      </c>
      <c r="F148" s="43" t="s">
        <v>441</v>
      </c>
      <c r="G148" s="43" t="s">
        <v>23</v>
      </c>
      <c r="H148" s="44">
        <v>3.8</v>
      </c>
      <c r="I148" s="109" t="s">
        <v>1377</v>
      </c>
      <c r="J148" s="47" t="s">
        <v>24</v>
      </c>
      <c r="K148" s="47" t="s">
        <v>51</v>
      </c>
      <c r="L148" s="42">
        <v>13</v>
      </c>
      <c r="M148" s="45">
        <f t="shared" si="18"/>
        <v>9500</v>
      </c>
      <c r="N148" s="45">
        <f t="shared" si="20"/>
        <v>123500</v>
      </c>
      <c r="O148" s="45">
        <f>M148*3</f>
        <v>28500</v>
      </c>
      <c r="P148" s="45">
        <f>M148*10*0.8</f>
        <v>76000</v>
      </c>
      <c r="Q148" s="45">
        <f t="shared" si="22"/>
        <v>1085.7142857142858</v>
      </c>
      <c r="R148" s="45">
        <f t="shared" si="21"/>
        <v>4342.8571428571431</v>
      </c>
      <c r="S148" s="13"/>
      <c r="T148" s="13"/>
      <c r="U148" s="13"/>
      <c r="V148" s="40"/>
      <c r="W148" s="13"/>
    </row>
    <row r="149" spans="1:23" ht="32.5" customHeight="1" x14ac:dyDescent="0.35">
      <c r="A149" s="14">
        <v>149</v>
      </c>
      <c r="B149" s="43" t="s">
        <v>420</v>
      </c>
      <c r="C149" s="43" t="s">
        <v>468</v>
      </c>
      <c r="D149" s="43" t="s">
        <v>469</v>
      </c>
      <c r="E149" s="43" t="s">
        <v>470</v>
      </c>
      <c r="F149" s="43" t="s">
        <v>471</v>
      </c>
      <c r="G149" s="43" t="s">
        <v>23</v>
      </c>
      <c r="H149" s="44" t="s">
        <v>472</v>
      </c>
      <c r="I149" s="43" t="s">
        <v>1361</v>
      </c>
      <c r="J149" s="47" t="s">
        <v>30</v>
      </c>
      <c r="K149" s="47" t="s">
        <v>35</v>
      </c>
      <c r="L149" s="42">
        <v>20</v>
      </c>
      <c r="M149" s="45">
        <f t="shared" si="18"/>
        <v>1625</v>
      </c>
      <c r="N149" s="45">
        <f t="shared" si="20"/>
        <v>32500</v>
      </c>
      <c r="O149" s="45">
        <f>M149*7</f>
        <v>11375</v>
      </c>
      <c r="P149" s="45">
        <f>M149*13*0.8</f>
        <v>16900</v>
      </c>
      <c r="Q149" s="45">
        <f t="shared" si="22"/>
        <v>241.42857142857142</v>
      </c>
      <c r="R149" s="45">
        <f t="shared" si="21"/>
        <v>965.71428571428567</v>
      </c>
      <c r="S149" s="13"/>
      <c r="T149" s="13"/>
      <c r="U149" s="13"/>
      <c r="V149" s="40"/>
      <c r="W149" s="13"/>
    </row>
    <row r="150" spans="1:23" ht="32.5" customHeight="1" x14ac:dyDescent="0.35">
      <c r="A150" s="14">
        <v>150</v>
      </c>
      <c r="B150" s="43" t="s">
        <v>420</v>
      </c>
      <c r="C150" s="43" t="s">
        <v>473</v>
      </c>
      <c r="D150" s="43" t="s">
        <v>428</v>
      </c>
      <c r="E150" s="43" t="s">
        <v>474</v>
      </c>
      <c r="F150" s="43" t="s">
        <v>475</v>
      </c>
      <c r="G150" s="43" t="s">
        <v>187</v>
      </c>
      <c r="H150" s="46">
        <v>1</v>
      </c>
      <c r="I150" s="109" t="s">
        <v>1344</v>
      </c>
      <c r="J150" s="47" t="s">
        <v>433</v>
      </c>
      <c r="K150" s="47" t="s">
        <v>35</v>
      </c>
      <c r="L150" s="42">
        <v>10</v>
      </c>
      <c r="M150" s="45">
        <v>0</v>
      </c>
      <c r="N150" s="45">
        <f t="shared" si="20"/>
        <v>0</v>
      </c>
      <c r="O150" s="45">
        <f>M150*2</f>
        <v>0</v>
      </c>
      <c r="P150" s="45">
        <f>M150*8*0.8</f>
        <v>0</v>
      </c>
      <c r="Q150" s="45">
        <f t="shared" si="22"/>
        <v>0</v>
      </c>
      <c r="R150" s="45">
        <f t="shared" si="21"/>
        <v>0</v>
      </c>
      <c r="S150" s="13"/>
      <c r="T150" s="13"/>
      <c r="U150" s="13"/>
      <c r="V150" s="40"/>
      <c r="W150" s="13"/>
    </row>
    <row r="151" spans="1:23" s="1" customFormat="1" ht="32.5" customHeight="1" x14ac:dyDescent="0.35">
      <c r="A151" s="14">
        <v>151</v>
      </c>
      <c r="B151" s="43" t="s">
        <v>420</v>
      </c>
      <c r="C151" s="43" t="s">
        <v>476</v>
      </c>
      <c r="D151" s="43" t="s">
        <v>477</v>
      </c>
      <c r="E151" s="43" t="s">
        <v>462</v>
      </c>
      <c r="F151" s="43" t="s">
        <v>441</v>
      </c>
      <c r="G151" s="43" t="s">
        <v>23</v>
      </c>
      <c r="H151" s="44">
        <v>26.2</v>
      </c>
      <c r="I151" s="109" t="s">
        <v>1345</v>
      </c>
      <c r="J151" s="47" t="s">
        <v>24</v>
      </c>
      <c r="K151" s="47" t="s">
        <v>35</v>
      </c>
      <c r="L151" s="17">
        <v>10</v>
      </c>
      <c r="M151" s="45">
        <f>H151*10000*0.25</f>
        <v>65500</v>
      </c>
      <c r="N151" s="45">
        <f t="shared" si="20"/>
        <v>655000</v>
      </c>
      <c r="O151" s="45">
        <f>M151*2</f>
        <v>131000</v>
      </c>
      <c r="P151" s="45">
        <f>M151*8*0.8</f>
        <v>419200</v>
      </c>
      <c r="Q151" s="45">
        <f t="shared" si="22"/>
        <v>5988.5714285714284</v>
      </c>
      <c r="R151" s="45">
        <f t="shared" si="21"/>
        <v>23954.285714285714</v>
      </c>
      <c r="S151" s="13"/>
      <c r="T151" s="13"/>
      <c r="U151" s="13"/>
      <c r="V151" s="13"/>
      <c r="W151" s="13"/>
    </row>
    <row r="152" spans="1:23" ht="32.5" customHeight="1" x14ac:dyDescent="0.35">
      <c r="A152" s="14">
        <v>152</v>
      </c>
      <c r="B152" s="43" t="s">
        <v>420</v>
      </c>
      <c r="C152" s="43" t="s">
        <v>478</v>
      </c>
      <c r="D152" s="43" t="s">
        <v>422</v>
      </c>
      <c r="E152" s="43" t="s">
        <v>460</v>
      </c>
      <c r="F152" s="43" t="s">
        <v>479</v>
      </c>
      <c r="G152" s="43" t="s">
        <v>187</v>
      </c>
      <c r="H152" s="44">
        <v>3.2</v>
      </c>
      <c r="I152" s="109" t="s">
        <v>1346</v>
      </c>
      <c r="J152" s="47" t="s">
        <v>433</v>
      </c>
      <c r="K152" s="47" t="s">
        <v>25</v>
      </c>
      <c r="L152" s="42">
        <v>4</v>
      </c>
      <c r="M152" s="45">
        <v>0</v>
      </c>
      <c r="N152" s="45">
        <f t="shared" si="20"/>
        <v>0</v>
      </c>
      <c r="O152" s="45">
        <f>M152*2</f>
        <v>0</v>
      </c>
      <c r="P152" s="45">
        <f>M152*8*0.8</f>
        <v>0</v>
      </c>
      <c r="Q152" s="45">
        <f t="shared" si="22"/>
        <v>0</v>
      </c>
      <c r="R152" s="45">
        <f t="shared" si="21"/>
        <v>0</v>
      </c>
      <c r="S152" s="13"/>
      <c r="T152" s="13"/>
      <c r="U152" s="13"/>
      <c r="V152" s="40"/>
      <c r="W152" s="13"/>
    </row>
    <row r="153" spans="1:23" ht="32.5" customHeight="1" x14ac:dyDescent="0.35">
      <c r="A153" s="14">
        <v>153</v>
      </c>
      <c r="B153" s="43" t="s">
        <v>420</v>
      </c>
      <c r="C153" s="43" t="s">
        <v>480</v>
      </c>
      <c r="D153" s="43" t="s">
        <v>422</v>
      </c>
      <c r="E153" s="43" t="s">
        <v>423</v>
      </c>
      <c r="F153" s="43" t="s">
        <v>424</v>
      </c>
      <c r="G153" s="43" t="s">
        <v>29</v>
      </c>
      <c r="H153" s="44">
        <v>0.17</v>
      </c>
      <c r="I153" s="109" t="s">
        <v>1347</v>
      </c>
      <c r="J153" s="47" t="s">
        <v>433</v>
      </c>
      <c r="K153" s="47" t="s">
        <v>25</v>
      </c>
      <c r="L153" s="42">
        <v>3</v>
      </c>
      <c r="M153" s="45">
        <f t="shared" ref="M153:M181" si="23">H153*10000*0.25</f>
        <v>425.00000000000006</v>
      </c>
      <c r="N153" s="45">
        <f t="shared" si="20"/>
        <v>1275.0000000000002</v>
      </c>
      <c r="O153" s="45">
        <f>M153*L153</f>
        <v>1275.0000000000002</v>
      </c>
      <c r="P153" s="45">
        <v>0</v>
      </c>
      <c r="Q153" s="45">
        <f t="shared" si="22"/>
        <v>0</v>
      </c>
      <c r="R153" s="45">
        <f t="shared" si="21"/>
        <v>0</v>
      </c>
      <c r="S153" s="13"/>
      <c r="T153" s="13"/>
      <c r="U153" s="13"/>
      <c r="V153" s="40"/>
      <c r="W153" s="13"/>
    </row>
    <row r="154" spans="1:23" ht="32.5" customHeight="1" x14ac:dyDescent="0.35">
      <c r="A154" s="14">
        <v>154</v>
      </c>
      <c r="B154" s="43" t="s">
        <v>420</v>
      </c>
      <c r="C154" s="43" t="s">
        <v>481</v>
      </c>
      <c r="D154" s="43" t="s">
        <v>422</v>
      </c>
      <c r="E154" s="43" t="s">
        <v>436</v>
      </c>
      <c r="F154" s="43" t="s">
        <v>482</v>
      </c>
      <c r="G154" s="43" t="s">
        <v>23</v>
      </c>
      <c r="H154" s="44">
        <v>0.67</v>
      </c>
      <c r="I154" s="109" t="s">
        <v>1348</v>
      </c>
      <c r="J154" s="47" t="s">
        <v>30</v>
      </c>
      <c r="K154" s="47" t="s">
        <v>51</v>
      </c>
      <c r="L154" s="42">
        <v>5</v>
      </c>
      <c r="M154" s="45">
        <f t="shared" si="23"/>
        <v>1675</v>
      </c>
      <c r="N154" s="45">
        <f t="shared" si="20"/>
        <v>8375</v>
      </c>
      <c r="O154" s="45">
        <f>M154*1</f>
        <v>1675</v>
      </c>
      <c r="P154" s="45">
        <f>M154*5*0.8</f>
        <v>6700</v>
      </c>
      <c r="Q154" s="45">
        <f t="shared" si="22"/>
        <v>95.714285714285708</v>
      </c>
      <c r="R154" s="45">
        <f t="shared" si="21"/>
        <v>382.85714285714283</v>
      </c>
      <c r="S154" s="13"/>
      <c r="T154" s="13"/>
      <c r="U154" s="13"/>
      <c r="V154" s="40"/>
      <c r="W154" s="13"/>
    </row>
    <row r="155" spans="1:23" ht="32.5" customHeight="1" x14ac:dyDescent="0.35">
      <c r="A155" s="14">
        <v>155</v>
      </c>
      <c r="B155" s="43" t="s">
        <v>420</v>
      </c>
      <c r="C155" s="43" t="s">
        <v>468</v>
      </c>
      <c r="D155" s="43" t="s">
        <v>483</v>
      </c>
      <c r="E155" s="43" t="s">
        <v>484</v>
      </c>
      <c r="F155" s="43" t="s">
        <v>485</v>
      </c>
      <c r="G155" s="43" t="s">
        <v>23</v>
      </c>
      <c r="H155" s="44">
        <v>1.1000000000000001</v>
      </c>
      <c r="I155" s="109" t="s">
        <v>1349</v>
      </c>
      <c r="J155" s="47" t="s">
        <v>24</v>
      </c>
      <c r="K155" s="47" t="s">
        <v>35</v>
      </c>
      <c r="L155" s="42">
        <v>30</v>
      </c>
      <c r="M155" s="45">
        <f t="shared" si="23"/>
        <v>2750</v>
      </c>
      <c r="N155" s="45">
        <f t="shared" si="20"/>
        <v>82500</v>
      </c>
      <c r="O155" s="45">
        <f>M155*12</f>
        <v>33000</v>
      </c>
      <c r="P155" s="45">
        <f>M155*18*0.8</f>
        <v>39600</v>
      </c>
      <c r="Q155" s="45">
        <f t="shared" si="22"/>
        <v>565.71428571428567</v>
      </c>
      <c r="R155" s="45">
        <f t="shared" si="21"/>
        <v>2262.8571428571427</v>
      </c>
      <c r="S155" s="13"/>
      <c r="T155" s="13"/>
      <c r="U155" s="13"/>
      <c r="V155" s="40"/>
      <c r="W155" s="13"/>
    </row>
    <row r="156" spans="1:23" ht="32.5" customHeight="1" x14ac:dyDescent="0.35">
      <c r="A156" s="14">
        <v>156</v>
      </c>
      <c r="B156" s="43" t="s">
        <v>420</v>
      </c>
      <c r="C156" s="43" t="s">
        <v>486</v>
      </c>
      <c r="D156" s="43" t="s">
        <v>436</v>
      </c>
      <c r="E156" s="43" t="s">
        <v>462</v>
      </c>
      <c r="F156" s="43" t="s">
        <v>441</v>
      </c>
      <c r="G156" s="43" t="s">
        <v>23</v>
      </c>
      <c r="H156" s="44">
        <v>37.200000000000003</v>
      </c>
      <c r="I156" s="109" t="s">
        <v>1350</v>
      </c>
      <c r="J156" s="47" t="s">
        <v>24</v>
      </c>
      <c r="K156" s="47" t="s">
        <v>35</v>
      </c>
      <c r="L156" s="42">
        <v>10</v>
      </c>
      <c r="M156" s="45">
        <f t="shared" si="23"/>
        <v>93000</v>
      </c>
      <c r="N156" s="45">
        <f t="shared" si="20"/>
        <v>930000</v>
      </c>
      <c r="O156" s="45">
        <f>M156*2</f>
        <v>186000</v>
      </c>
      <c r="P156" s="45">
        <f>M156*8*0.8</f>
        <v>595200</v>
      </c>
      <c r="Q156" s="45">
        <f t="shared" si="22"/>
        <v>8502.8571428571431</v>
      </c>
      <c r="R156" s="45">
        <f t="shared" si="21"/>
        <v>34011.428571428572</v>
      </c>
      <c r="S156" s="13"/>
      <c r="T156" s="13"/>
      <c r="U156" s="13"/>
      <c r="V156" s="40"/>
      <c r="W156" s="13"/>
    </row>
    <row r="157" spans="1:23" ht="32.5" customHeight="1" x14ac:dyDescent="0.35">
      <c r="A157" s="14">
        <v>157</v>
      </c>
      <c r="B157" s="43" t="s">
        <v>420</v>
      </c>
      <c r="C157" s="43" t="s">
        <v>487</v>
      </c>
      <c r="D157" s="43" t="s">
        <v>465</v>
      </c>
      <c r="E157" s="43" t="s">
        <v>462</v>
      </c>
      <c r="F157" s="43" t="s">
        <v>441</v>
      </c>
      <c r="G157" s="43" t="s">
        <v>23</v>
      </c>
      <c r="H157" s="44">
        <v>16.899999999999999</v>
      </c>
      <c r="I157" s="109" t="s">
        <v>1351</v>
      </c>
      <c r="J157" s="47" t="s">
        <v>30</v>
      </c>
      <c r="K157" s="47" t="s">
        <v>35</v>
      </c>
      <c r="L157" s="42">
        <v>12</v>
      </c>
      <c r="M157" s="45">
        <f t="shared" si="23"/>
        <v>42250</v>
      </c>
      <c r="N157" s="45">
        <f t="shared" si="20"/>
        <v>507000</v>
      </c>
      <c r="O157" s="45">
        <f>M157*2</f>
        <v>84500</v>
      </c>
      <c r="P157" s="45">
        <f>M157*10*0.8</f>
        <v>338000</v>
      </c>
      <c r="Q157" s="45">
        <f t="shared" si="22"/>
        <v>4828.5714285714284</v>
      </c>
      <c r="R157" s="45">
        <f t="shared" si="21"/>
        <v>19314.285714285714</v>
      </c>
      <c r="S157" s="13"/>
      <c r="T157" s="13"/>
      <c r="U157" s="13"/>
      <c r="V157" s="40"/>
      <c r="W157" s="13"/>
    </row>
    <row r="158" spans="1:23" ht="32.5" customHeight="1" x14ac:dyDescent="0.35">
      <c r="A158" s="14">
        <v>158</v>
      </c>
      <c r="B158" s="43" t="s">
        <v>420</v>
      </c>
      <c r="C158" s="43" t="s">
        <v>488</v>
      </c>
      <c r="D158" s="43" t="s">
        <v>453</v>
      </c>
      <c r="E158" s="43" t="s">
        <v>454</v>
      </c>
      <c r="F158" s="43" t="s">
        <v>441</v>
      </c>
      <c r="G158" s="43" t="s">
        <v>23</v>
      </c>
      <c r="H158" s="44">
        <v>29.5</v>
      </c>
      <c r="I158" s="109" t="s">
        <v>1352</v>
      </c>
      <c r="J158" s="47" t="s">
        <v>24</v>
      </c>
      <c r="K158" s="47" t="s">
        <v>51</v>
      </c>
      <c r="L158" s="42">
        <v>8</v>
      </c>
      <c r="M158" s="45">
        <f t="shared" si="23"/>
        <v>73750</v>
      </c>
      <c r="N158" s="45">
        <f t="shared" si="20"/>
        <v>590000</v>
      </c>
      <c r="O158" s="45">
        <f>M158*2</f>
        <v>147500</v>
      </c>
      <c r="P158" s="45">
        <f>M158*6*0.8</f>
        <v>354000</v>
      </c>
      <c r="Q158" s="45">
        <f t="shared" si="22"/>
        <v>5057.1428571428569</v>
      </c>
      <c r="R158" s="45">
        <f t="shared" si="21"/>
        <v>20228.571428571428</v>
      </c>
      <c r="S158" s="13"/>
      <c r="T158" s="13"/>
      <c r="U158" s="13"/>
      <c r="V158" s="40"/>
      <c r="W158" s="13"/>
    </row>
    <row r="159" spans="1:23" ht="32.5" customHeight="1" x14ac:dyDescent="0.35">
      <c r="A159" s="14">
        <v>159</v>
      </c>
      <c r="B159" s="43" t="s">
        <v>420</v>
      </c>
      <c r="C159" s="43" t="s">
        <v>489</v>
      </c>
      <c r="D159" s="43" t="s">
        <v>460</v>
      </c>
      <c r="E159" s="43" t="s">
        <v>490</v>
      </c>
      <c r="F159" s="43" t="s">
        <v>441</v>
      </c>
      <c r="G159" s="43" t="s">
        <v>23</v>
      </c>
      <c r="H159" s="44">
        <v>0.25</v>
      </c>
      <c r="I159" s="109" t="s">
        <v>1353</v>
      </c>
      <c r="J159" s="47" t="s">
        <v>24</v>
      </c>
      <c r="K159" s="47" t="s">
        <v>35</v>
      </c>
      <c r="L159" s="42">
        <v>20</v>
      </c>
      <c r="M159" s="45">
        <f t="shared" si="23"/>
        <v>625</v>
      </c>
      <c r="N159" s="45">
        <f t="shared" si="20"/>
        <v>12500</v>
      </c>
      <c r="O159" s="45">
        <f>M159*10</f>
        <v>6250</v>
      </c>
      <c r="P159" s="45">
        <f t="shared" ref="P159:P164" si="24">M159*10*0.8</f>
        <v>5000</v>
      </c>
      <c r="Q159" s="45">
        <f t="shared" si="22"/>
        <v>71.428571428571431</v>
      </c>
      <c r="R159" s="45">
        <f t="shared" si="21"/>
        <v>285.71428571428572</v>
      </c>
      <c r="S159" s="13"/>
      <c r="T159" s="13"/>
      <c r="U159" s="13"/>
      <c r="V159" s="40"/>
      <c r="W159" s="13"/>
    </row>
    <row r="160" spans="1:23" ht="32.5" customHeight="1" x14ac:dyDescent="0.35">
      <c r="A160" s="14">
        <v>160</v>
      </c>
      <c r="B160" s="43" t="s">
        <v>420</v>
      </c>
      <c r="C160" s="43" t="s">
        <v>491</v>
      </c>
      <c r="D160" s="43" t="s">
        <v>428</v>
      </c>
      <c r="E160" s="43" t="s">
        <v>462</v>
      </c>
      <c r="F160" s="43" t="s">
        <v>492</v>
      </c>
      <c r="G160" s="43" t="s">
        <v>23</v>
      </c>
      <c r="H160" s="44">
        <v>1.5</v>
      </c>
      <c r="I160" s="109" t="s">
        <v>1354</v>
      </c>
      <c r="J160" s="47" t="s">
        <v>24</v>
      </c>
      <c r="K160" s="47" t="s">
        <v>51</v>
      </c>
      <c r="L160" s="42">
        <v>13</v>
      </c>
      <c r="M160" s="45">
        <f t="shared" si="23"/>
        <v>3750</v>
      </c>
      <c r="N160" s="45">
        <f t="shared" si="20"/>
        <v>48750</v>
      </c>
      <c r="O160" s="45">
        <f>M160*3</f>
        <v>11250</v>
      </c>
      <c r="P160" s="45">
        <f t="shared" si="24"/>
        <v>30000</v>
      </c>
      <c r="Q160" s="45">
        <f t="shared" si="22"/>
        <v>428.57142857142856</v>
      </c>
      <c r="R160" s="45">
        <f t="shared" si="21"/>
        <v>1714.2857142857142</v>
      </c>
      <c r="S160" s="13"/>
      <c r="T160" s="13"/>
      <c r="U160" s="13"/>
      <c r="V160" s="40"/>
      <c r="W160" s="13"/>
    </row>
    <row r="161" spans="1:23" ht="32.5" customHeight="1" x14ac:dyDescent="0.35">
      <c r="A161" s="14">
        <v>161</v>
      </c>
      <c r="B161" s="43" t="s">
        <v>420</v>
      </c>
      <c r="C161" s="43" t="s">
        <v>493</v>
      </c>
      <c r="D161" s="43" t="s">
        <v>494</v>
      </c>
      <c r="E161" s="43" t="s">
        <v>440</v>
      </c>
      <c r="F161" s="43" t="s">
        <v>441</v>
      </c>
      <c r="G161" s="43" t="s">
        <v>23</v>
      </c>
      <c r="H161" s="44">
        <v>87.85</v>
      </c>
      <c r="I161" s="43" t="s">
        <v>1355</v>
      </c>
      <c r="J161" s="47" t="s">
        <v>24</v>
      </c>
      <c r="K161" s="47" t="s">
        <v>51</v>
      </c>
      <c r="L161" s="42">
        <v>12</v>
      </c>
      <c r="M161" s="45">
        <f t="shared" si="23"/>
        <v>219625</v>
      </c>
      <c r="N161" s="45">
        <f t="shared" si="20"/>
        <v>2635500</v>
      </c>
      <c r="O161" s="45">
        <f>M161*2</f>
        <v>439250</v>
      </c>
      <c r="P161" s="45">
        <f t="shared" si="24"/>
        <v>1757000</v>
      </c>
      <c r="Q161" s="45">
        <f t="shared" si="22"/>
        <v>25100</v>
      </c>
      <c r="R161" s="45">
        <f t="shared" si="21"/>
        <v>100400</v>
      </c>
      <c r="S161" s="13"/>
      <c r="T161" s="13"/>
      <c r="U161" s="13"/>
      <c r="V161" s="40"/>
      <c r="W161" s="13"/>
    </row>
    <row r="162" spans="1:23" ht="32.5" customHeight="1" x14ac:dyDescent="0.35">
      <c r="A162" s="14">
        <v>162</v>
      </c>
      <c r="B162" s="43" t="s">
        <v>420</v>
      </c>
      <c r="C162" s="43" t="s">
        <v>495</v>
      </c>
      <c r="D162" s="43" t="s">
        <v>496</v>
      </c>
      <c r="E162" s="43" t="s">
        <v>462</v>
      </c>
      <c r="F162" s="43" t="s">
        <v>441</v>
      </c>
      <c r="G162" s="43" t="s">
        <v>23</v>
      </c>
      <c r="H162" s="44">
        <v>3.2</v>
      </c>
      <c r="I162" s="109" t="s">
        <v>1356</v>
      </c>
      <c r="J162" s="47" t="s">
        <v>24</v>
      </c>
      <c r="K162" s="47" t="s">
        <v>35</v>
      </c>
      <c r="L162" s="42">
        <v>13</v>
      </c>
      <c r="M162" s="45">
        <f t="shared" si="23"/>
        <v>8000</v>
      </c>
      <c r="N162" s="45">
        <f t="shared" si="20"/>
        <v>104000</v>
      </c>
      <c r="O162" s="45">
        <f>M162*3</f>
        <v>24000</v>
      </c>
      <c r="P162" s="45">
        <f t="shared" si="24"/>
        <v>64000</v>
      </c>
      <c r="Q162" s="45">
        <f t="shared" si="22"/>
        <v>914.28571428571433</v>
      </c>
      <c r="R162" s="45">
        <f t="shared" si="21"/>
        <v>3657.1428571428573</v>
      </c>
      <c r="S162" s="13"/>
      <c r="T162" s="13"/>
      <c r="U162" s="13"/>
      <c r="V162" s="40"/>
      <c r="W162" s="13"/>
    </row>
    <row r="163" spans="1:23" ht="32.5" customHeight="1" x14ac:dyDescent="0.35">
      <c r="A163" s="14">
        <v>163</v>
      </c>
      <c r="B163" s="43" t="s">
        <v>420</v>
      </c>
      <c r="C163" s="43" t="s">
        <v>497</v>
      </c>
      <c r="D163" s="43" t="s">
        <v>428</v>
      </c>
      <c r="E163" s="43" t="s">
        <v>462</v>
      </c>
      <c r="F163" s="43" t="s">
        <v>441</v>
      </c>
      <c r="G163" s="43" t="s">
        <v>23</v>
      </c>
      <c r="H163" s="44">
        <v>9.94</v>
      </c>
      <c r="I163" s="109" t="s">
        <v>1357</v>
      </c>
      <c r="J163" s="47" t="s">
        <v>30</v>
      </c>
      <c r="K163" s="47" t="s">
        <v>35</v>
      </c>
      <c r="L163" s="42">
        <v>13</v>
      </c>
      <c r="M163" s="45">
        <f t="shared" si="23"/>
        <v>24850</v>
      </c>
      <c r="N163" s="45">
        <f t="shared" si="20"/>
        <v>323050</v>
      </c>
      <c r="O163" s="45">
        <f>M163*3</f>
        <v>74550</v>
      </c>
      <c r="P163" s="45">
        <f t="shared" si="24"/>
        <v>198800</v>
      </c>
      <c r="Q163" s="45">
        <f t="shared" si="22"/>
        <v>2840</v>
      </c>
      <c r="R163" s="45">
        <f t="shared" si="21"/>
        <v>11360</v>
      </c>
      <c r="S163" s="13"/>
      <c r="T163" s="13"/>
      <c r="U163" s="13"/>
      <c r="V163" s="40"/>
      <c r="W163" s="13"/>
    </row>
    <row r="164" spans="1:23" ht="32.5" customHeight="1" x14ac:dyDescent="0.35">
      <c r="A164" s="14">
        <v>164</v>
      </c>
      <c r="B164" s="43" t="s">
        <v>420</v>
      </c>
      <c r="C164" s="43" t="s">
        <v>498</v>
      </c>
      <c r="D164" s="43" t="s">
        <v>436</v>
      </c>
      <c r="E164" s="43" t="s">
        <v>474</v>
      </c>
      <c r="F164" s="43" t="s">
        <v>455</v>
      </c>
      <c r="G164" s="43" t="s">
        <v>23</v>
      </c>
      <c r="H164" s="44">
        <v>0.25</v>
      </c>
      <c r="I164" s="109" t="s">
        <v>1358</v>
      </c>
      <c r="J164" s="47" t="s">
        <v>30</v>
      </c>
      <c r="K164" s="47" t="s">
        <v>35</v>
      </c>
      <c r="L164" s="42">
        <v>12</v>
      </c>
      <c r="M164" s="45">
        <f t="shared" si="23"/>
        <v>625</v>
      </c>
      <c r="N164" s="45">
        <f t="shared" si="20"/>
        <v>7500</v>
      </c>
      <c r="O164" s="45">
        <f>M164*2</f>
        <v>1250</v>
      </c>
      <c r="P164" s="45">
        <f t="shared" si="24"/>
        <v>5000</v>
      </c>
      <c r="Q164" s="45">
        <f t="shared" si="22"/>
        <v>71.428571428571431</v>
      </c>
      <c r="R164" s="45">
        <f t="shared" si="21"/>
        <v>285.71428571428572</v>
      </c>
      <c r="S164" s="13"/>
      <c r="T164" s="13"/>
      <c r="U164" s="13"/>
      <c r="V164" s="40"/>
      <c r="W164" s="13"/>
    </row>
    <row r="165" spans="1:23" ht="32.5" customHeight="1" x14ac:dyDescent="0.35">
      <c r="A165" s="14">
        <v>165</v>
      </c>
      <c r="B165" s="43" t="s">
        <v>420</v>
      </c>
      <c r="C165" s="43" t="s">
        <v>499</v>
      </c>
      <c r="D165" s="43" t="s">
        <v>460</v>
      </c>
      <c r="E165" s="43" t="s">
        <v>436</v>
      </c>
      <c r="F165" s="43" t="s">
        <v>500</v>
      </c>
      <c r="G165" s="43" t="s">
        <v>187</v>
      </c>
      <c r="H165" s="44">
        <v>0.05</v>
      </c>
      <c r="I165" s="109" t="s">
        <v>1359</v>
      </c>
      <c r="J165" s="47" t="s">
        <v>433</v>
      </c>
      <c r="K165" s="47" t="s">
        <v>35</v>
      </c>
      <c r="L165" s="42">
        <v>5</v>
      </c>
      <c r="M165" s="45">
        <f t="shared" si="23"/>
        <v>125</v>
      </c>
      <c r="N165" s="45">
        <f t="shared" si="20"/>
        <v>625</v>
      </c>
      <c r="O165" s="45">
        <f>M165*L165</f>
        <v>625</v>
      </c>
      <c r="P165" s="45">
        <v>0</v>
      </c>
      <c r="Q165" s="45">
        <f t="shared" si="22"/>
        <v>0</v>
      </c>
      <c r="R165" s="45">
        <f t="shared" si="21"/>
        <v>0</v>
      </c>
      <c r="S165" s="13"/>
      <c r="T165" s="13"/>
      <c r="U165" s="13"/>
      <c r="V165" s="40"/>
      <c r="W165" s="13"/>
    </row>
    <row r="166" spans="1:23" ht="32.5" customHeight="1" x14ac:dyDescent="0.35">
      <c r="A166" s="14">
        <v>166</v>
      </c>
      <c r="B166" s="43" t="s">
        <v>420</v>
      </c>
      <c r="C166" s="43" t="s">
        <v>501</v>
      </c>
      <c r="D166" s="43" t="s">
        <v>460</v>
      </c>
      <c r="E166" s="43" t="s">
        <v>436</v>
      </c>
      <c r="F166" s="43" t="s">
        <v>500</v>
      </c>
      <c r="G166" s="43" t="s">
        <v>187</v>
      </c>
      <c r="H166" s="44">
        <v>0.05</v>
      </c>
      <c r="I166" s="109" t="s">
        <v>1360</v>
      </c>
      <c r="J166" s="47" t="s">
        <v>433</v>
      </c>
      <c r="K166" s="47" t="s">
        <v>35</v>
      </c>
      <c r="L166" s="42">
        <v>5</v>
      </c>
      <c r="M166" s="45">
        <f t="shared" si="23"/>
        <v>125</v>
      </c>
      <c r="N166" s="45">
        <f t="shared" si="20"/>
        <v>625</v>
      </c>
      <c r="O166" s="45">
        <f>M166*L166</f>
        <v>625</v>
      </c>
      <c r="P166" s="45">
        <v>0</v>
      </c>
      <c r="Q166" s="45">
        <f t="shared" si="22"/>
        <v>0</v>
      </c>
      <c r="R166" s="45">
        <f t="shared" si="21"/>
        <v>0</v>
      </c>
      <c r="S166" s="13"/>
      <c r="T166" s="13"/>
      <c r="U166" s="13"/>
      <c r="V166" s="40"/>
      <c r="W166" s="13"/>
    </row>
    <row r="167" spans="1:23" s="1" customFormat="1" ht="32.5" customHeight="1" x14ac:dyDescent="0.35">
      <c r="A167" s="14">
        <v>167</v>
      </c>
      <c r="B167" s="43" t="s">
        <v>420</v>
      </c>
      <c r="C167" s="43" t="s">
        <v>502</v>
      </c>
      <c r="D167" s="43" t="s">
        <v>422</v>
      </c>
      <c r="E167" s="43" t="s">
        <v>462</v>
      </c>
      <c r="F167" s="43" t="s">
        <v>503</v>
      </c>
      <c r="G167" s="43" t="s">
        <v>23</v>
      </c>
      <c r="H167" s="44">
        <v>5.5</v>
      </c>
      <c r="I167" s="109" t="s">
        <v>1343</v>
      </c>
      <c r="J167" s="47" t="s">
        <v>24</v>
      </c>
      <c r="K167" s="47" t="s">
        <v>35</v>
      </c>
      <c r="L167" s="17">
        <v>13</v>
      </c>
      <c r="M167" s="45">
        <f t="shared" si="23"/>
        <v>13750</v>
      </c>
      <c r="N167" s="45">
        <f t="shared" si="20"/>
        <v>178750</v>
      </c>
      <c r="O167" s="45">
        <f>M167*3</f>
        <v>41250</v>
      </c>
      <c r="P167" s="45">
        <f>M167*10*0.8</f>
        <v>110000</v>
      </c>
      <c r="Q167" s="45">
        <f t="shared" si="22"/>
        <v>1571.4285714285713</v>
      </c>
      <c r="R167" s="45">
        <f t="shared" si="21"/>
        <v>6285.7142857142853</v>
      </c>
      <c r="S167" s="13"/>
      <c r="T167" s="13"/>
      <c r="U167" s="13"/>
      <c r="V167" s="13"/>
      <c r="W167" s="13"/>
    </row>
    <row r="168" spans="1:23" ht="32.5" customHeight="1" x14ac:dyDescent="0.35">
      <c r="A168" s="14">
        <v>168</v>
      </c>
      <c r="B168" s="43" t="s">
        <v>420</v>
      </c>
      <c r="C168" s="43" t="s">
        <v>504</v>
      </c>
      <c r="D168" s="43" t="s">
        <v>453</v>
      </c>
      <c r="E168" s="43" t="s">
        <v>454</v>
      </c>
      <c r="F168" s="43" t="s">
        <v>505</v>
      </c>
      <c r="G168" s="43" t="s">
        <v>23</v>
      </c>
      <c r="H168" s="46">
        <v>10</v>
      </c>
      <c r="I168" s="109" t="s">
        <v>1342</v>
      </c>
      <c r="J168" s="47" t="s">
        <v>24</v>
      </c>
      <c r="K168" s="47" t="s">
        <v>51</v>
      </c>
      <c r="L168" s="42">
        <v>10</v>
      </c>
      <c r="M168" s="45">
        <f t="shared" si="23"/>
        <v>25000</v>
      </c>
      <c r="N168" s="45">
        <f t="shared" si="20"/>
        <v>250000</v>
      </c>
      <c r="O168" s="45">
        <f>M168*2</f>
        <v>50000</v>
      </c>
      <c r="P168" s="45">
        <f>M168*8*0.8</f>
        <v>160000</v>
      </c>
      <c r="Q168" s="45">
        <f t="shared" si="22"/>
        <v>2285.7142857142858</v>
      </c>
      <c r="R168" s="45">
        <f t="shared" si="21"/>
        <v>9142.8571428571431</v>
      </c>
      <c r="S168" s="13"/>
      <c r="T168" s="13"/>
      <c r="U168" s="13"/>
      <c r="V168" s="40"/>
      <c r="W168" s="13"/>
    </row>
    <row r="169" spans="1:23" s="1" customFormat="1" ht="32.5" customHeight="1" x14ac:dyDescent="0.35">
      <c r="A169" s="14">
        <v>169</v>
      </c>
      <c r="B169" s="43" t="s">
        <v>420</v>
      </c>
      <c r="C169" s="43" t="s">
        <v>506</v>
      </c>
      <c r="D169" s="43" t="s">
        <v>453</v>
      </c>
      <c r="E169" s="43" t="s">
        <v>454</v>
      </c>
      <c r="F169" s="43" t="s">
        <v>505</v>
      </c>
      <c r="G169" s="43" t="s">
        <v>23</v>
      </c>
      <c r="H169" s="46">
        <v>6</v>
      </c>
      <c r="I169" s="109" t="s">
        <v>1341</v>
      </c>
      <c r="J169" s="47" t="s">
        <v>24</v>
      </c>
      <c r="K169" s="47" t="s">
        <v>51</v>
      </c>
      <c r="L169" s="17">
        <v>10</v>
      </c>
      <c r="M169" s="45">
        <f t="shared" si="23"/>
        <v>15000</v>
      </c>
      <c r="N169" s="45">
        <f t="shared" si="20"/>
        <v>150000</v>
      </c>
      <c r="O169" s="45">
        <f>M169*2</f>
        <v>30000</v>
      </c>
      <c r="P169" s="45">
        <f>M169*8*0.8</f>
        <v>96000</v>
      </c>
      <c r="Q169" s="45">
        <f t="shared" si="22"/>
        <v>1371.4285714285713</v>
      </c>
      <c r="R169" s="45">
        <f t="shared" si="21"/>
        <v>5485.7142857142853</v>
      </c>
      <c r="S169" s="13"/>
      <c r="T169" s="13"/>
      <c r="U169" s="13"/>
      <c r="V169" s="13"/>
      <c r="W169" s="13"/>
    </row>
    <row r="170" spans="1:23" ht="32.5" customHeight="1" x14ac:dyDescent="0.35">
      <c r="A170" s="14">
        <v>170</v>
      </c>
      <c r="B170" s="43" t="s">
        <v>420</v>
      </c>
      <c r="C170" s="43" t="s">
        <v>507</v>
      </c>
      <c r="D170" s="43" t="s">
        <v>453</v>
      </c>
      <c r="E170" s="43" t="s">
        <v>454</v>
      </c>
      <c r="F170" s="43" t="s">
        <v>505</v>
      </c>
      <c r="G170" s="43" t="s">
        <v>23</v>
      </c>
      <c r="H170" s="44">
        <v>2.8</v>
      </c>
      <c r="I170" s="109" t="s">
        <v>1340</v>
      </c>
      <c r="J170" s="47" t="s">
        <v>30</v>
      </c>
      <c r="K170" s="47" t="s">
        <v>51</v>
      </c>
      <c r="L170" s="42">
        <v>10</v>
      </c>
      <c r="M170" s="45">
        <f t="shared" si="23"/>
        <v>7000</v>
      </c>
      <c r="N170" s="45">
        <f t="shared" si="20"/>
        <v>70000</v>
      </c>
      <c r="O170" s="45">
        <f>M170*2</f>
        <v>14000</v>
      </c>
      <c r="P170" s="45">
        <f>M170*8*0.8</f>
        <v>44800</v>
      </c>
      <c r="Q170" s="45">
        <f t="shared" si="22"/>
        <v>640</v>
      </c>
      <c r="R170" s="45">
        <f t="shared" si="21"/>
        <v>2560</v>
      </c>
      <c r="S170" s="13"/>
      <c r="T170" s="13"/>
      <c r="U170" s="13"/>
      <c r="V170" s="40"/>
      <c r="W170" s="13"/>
    </row>
    <row r="171" spans="1:23" ht="32.5" customHeight="1" x14ac:dyDescent="0.35">
      <c r="A171" s="14">
        <v>171</v>
      </c>
      <c r="B171" s="43" t="s">
        <v>420</v>
      </c>
      <c r="C171" s="43" t="s">
        <v>508</v>
      </c>
      <c r="D171" s="43" t="s">
        <v>453</v>
      </c>
      <c r="E171" s="43" t="s">
        <v>454</v>
      </c>
      <c r="F171" s="43" t="s">
        <v>505</v>
      </c>
      <c r="G171" s="43" t="s">
        <v>23</v>
      </c>
      <c r="H171" s="44">
        <v>4.5</v>
      </c>
      <c r="I171" s="109" t="s">
        <v>1339</v>
      </c>
      <c r="J171" s="47" t="s">
        <v>30</v>
      </c>
      <c r="K171" s="47" t="s">
        <v>51</v>
      </c>
      <c r="L171" s="42">
        <v>10</v>
      </c>
      <c r="M171" s="45">
        <f t="shared" si="23"/>
        <v>11250</v>
      </c>
      <c r="N171" s="45">
        <f t="shared" si="20"/>
        <v>112500</v>
      </c>
      <c r="O171" s="45">
        <f>M171*2</f>
        <v>22500</v>
      </c>
      <c r="P171" s="45">
        <f>M171*8*0.8</f>
        <v>72000</v>
      </c>
      <c r="Q171" s="45">
        <f t="shared" si="22"/>
        <v>1028.5714285714287</v>
      </c>
      <c r="R171" s="45">
        <f t="shared" si="21"/>
        <v>4114.2857142857147</v>
      </c>
      <c r="S171" s="13"/>
      <c r="T171" s="13"/>
      <c r="U171" s="13"/>
      <c r="V171" s="40"/>
      <c r="W171" s="13"/>
    </row>
    <row r="172" spans="1:23" ht="32.5" customHeight="1" x14ac:dyDescent="0.35">
      <c r="A172" s="14">
        <v>172</v>
      </c>
      <c r="B172" s="43" t="s">
        <v>420</v>
      </c>
      <c r="C172" s="43" t="s">
        <v>509</v>
      </c>
      <c r="D172" s="43" t="s">
        <v>510</v>
      </c>
      <c r="E172" s="43" t="s">
        <v>454</v>
      </c>
      <c r="F172" s="43" t="s">
        <v>511</v>
      </c>
      <c r="G172" s="43" t="s">
        <v>23</v>
      </c>
      <c r="H172" s="46">
        <v>8</v>
      </c>
      <c r="I172" s="109" t="s">
        <v>1338</v>
      </c>
      <c r="J172" s="47" t="s">
        <v>24</v>
      </c>
      <c r="K172" s="47" t="s">
        <v>51</v>
      </c>
      <c r="L172" s="42">
        <v>10</v>
      </c>
      <c r="M172" s="45">
        <f t="shared" si="23"/>
        <v>20000</v>
      </c>
      <c r="N172" s="45">
        <f t="shared" si="20"/>
        <v>200000</v>
      </c>
      <c r="O172" s="45">
        <f>M172*2</f>
        <v>40000</v>
      </c>
      <c r="P172" s="45">
        <f>M172*8*0.8</f>
        <v>128000</v>
      </c>
      <c r="Q172" s="45">
        <f t="shared" si="22"/>
        <v>1828.5714285714287</v>
      </c>
      <c r="R172" s="45">
        <f t="shared" si="21"/>
        <v>7314.2857142857147</v>
      </c>
      <c r="S172" s="13"/>
      <c r="T172" s="13"/>
      <c r="U172" s="13"/>
      <c r="V172" s="40"/>
      <c r="W172" s="13"/>
    </row>
    <row r="173" spans="1:23" ht="32.5" customHeight="1" x14ac:dyDescent="0.35">
      <c r="A173" s="14">
        <v>173</v>
      </c>
      <c r="B173" s="43" t="s">
        <v>420</v>
      </c>
      <c r="C173" s="43" t="s">
        <v>512</v>
      </c>
      <c r="D173" s="43" t="s">
        <v>513</v>
      </c>
      <c r="E173" s="43" t="s">
        <v>514</v>
      </c>
      <c r="F173" s="43" t="s">
        <v>515</v>
      </c>
      <c r="G173" s="43" t="s">
        <v>23</v>
      </c>
      <c r="H173" s="46">
        <v>7</v>
      </c>
      <c r="I173" s="109" t="s">
        <v>1337</v>
      </c>
      <c r="J173" s="47" t="s">
        <v>24</v>
      </c>
      <c r="K173" s="47" t="s">
        <v>35</v>
      </c>
      <c r="L173" s="42">
        <v>5</v>
      </c>
      <c r="M173" s="45">
        <f t="shared" si="23"/>
        <v>17500</v>
      </c>
      <c r="N173" s="45">
        <f t="shared" si="20"/>
        <v>87500</v>
      </c>
      <c r="O173" s="45">
        <f>M173*1</f>
        <v>17500</v>
      </c>
      <c r="P173" s="45">
        <f>M173*4*0.8</f>
        <v>56000</v>
      </c>
      <c r="Q173" s="45">
        <f t="shared" si="22"/>
        <v>800</v>
      </c>
      <c r="R173" s="45">
        <f t="shared" si="21"/>
        <v>3200</v>
      </c>
      <c r="S173" s="13"/>
      <c r="T173" s="13"/>
      <c r="U173" s="13"/>
      <c r="V173" s="40"/>
      <c r="W173" s="13"/>
    </row>
    <row r="174" spans="1:23" ht="32.5" customHeight="1" x14ac:dyDescent="0.35">
      <c r="A174" s="14">
        <v>174</v>
      </c>
      <c r="B174" s="48" t="s">
        <v>420</v>
      </c>
      <c r="C174" s="48" t="s">
        <v>516</v>
      </c>
      <c r="D174" s="43" t="s">
        <v>453</v>
      </c>
      <c r="E174" s="43" t="s">
        <v>462</v>
      </c>
      <c r="F174" s="43" t="s">
        <v>515</v>
      </c>
      <c r="G174" s="43" t="s">
        <v>23</v>
      </c>
      <c r="H174" s="44">
        <v>9.48</v>
      </c>
      <c r="I174" s="109" t="s">
        <v>1336</v>
      </c>
      <c r="J174" s="47" t="s">
        <v>24</v>
      </c>
      <c r="K174" s="47" t="s">
        <v>35</v>
      </c>
      <c r="L174" s="42">
        <v>13</v>
      </c>
      <c r="M174" s="45">
        <f t="shared" si="23"/>
        <v>23700</v>
      </c>
      <c r="N174" s="45">
        <f t="shared" si="20"/>
        <v>308100</v>
      </c>
      <c r="O174" s="45">
        <f>M174*3</f>
        <v>71100</v>
      </c>
      <c r="P174" s="45">
        <f>M174*10*0.8</f>
        <v>189600</v>
      </c>
      <c r="Q174" s="45">
        <f t="shared" si="22"/>
        <v>2708.5714285714284</v>
      </c>
      <c r="R174" s="45">
        <f t="shared" si="21"/>
        <v>10834.285714285714</v>
      </c>
      <c r="S174" s="13"/>
      <c r="T174" s="13"/>
      <c r="U174" s="13"/>
      <c r="V174" s="40"/>
      <c r="W174" s="13"/>
    </row>
    <row r="175" spans="1:23" ht="31.5" customHeight="1" x14ac:dyDescent="0.35">
      <c r="A175" s="14">
        <v>175</v>
      </c>
      <c r="B175" s="49" t="s">
        <v>517</v>
      </c>
      <c r="C175" s="35" t="s">
        <v>518</v>
      </c>
      <c r="D175" s="35" t="s">
        <v>519</v>
      </c>
      <c r="E175" s="35" t="s">
        <v>520</v>
      </c>
      <c r="F175" s="35" t="s">
        <v>521</v>
      </c>
      <c r="G175" s="35" t="s">
        <v>23</v>
      </c>
      <c r="H175" s="31">
        <v>10.6</v>
      </c>
      <c r="I175" s="108" t="s">
        <v>1326</v>
      </c>
      <c r="J175" s="35" t="s">
        <v>522</v>
      </c>
      <c r="K175" s="35" t="s">
        <v>51</v>
      </c>
      <c r="L175" s="42">
        <v>13</v>
      </c>
      <c r="M175" s="21">
        <f t="shared" si="23"/>
        <v>26500</v>
      </c>
      <c r="N175" s="21">
        <f t="shared" si="20"/>
        <v>344500</v>
      </c>
      <c r="O175" s="21">
        <f>M175*3</f>
        <v>79500</v>
      </c>
      <c r="P175" s="21">
        <f>M175*10*0.8</f>
        <v>212000</v>
      </c>
      <c r="Q175" s="21">
        <f t="shared" si="22"/>
        <v>3028.5714285714284</v>
      </c>
      <c r="R175" s="21">
        <f t="shared" si="21"/>
        <v>12114.285714285714</v>
      </c>
      <c r="S175" s="13"/>
      <c r="T175" s="13"/>
      <c r="U175" s="13"/>
      <c r="V175" s="40"/>
      <c r="W175" s="13"/>
    </row>
    <row r="176" spans="1:23" ht="18.75" customHeight="1" x14ac:dyDescent="0.35">
      <c r="A176" s="14">
        <v>176</v>
      </c>
      <c r="B176" s="50" t="s">
        <v>517</v>
      </c>
      <c r="C176" s="35" t="s">
        <v>518</v>
      </c>
      <c r="D176" s="35" t="s">
        <v>239</v>
      </c>
      <c r="E176" s="35" t="s">
        <v>523</v>
      </c>
      <c r="F176" s="35" t="s">
        <v>524</v>
      </c>
      <c r="G176" s="35" t="s">
        <v>23</v>
      </c>
      <c r="H176" s="31">
        <v>0.5</v>
      </c>
      <c r="I176" s="108" t="s">
        <v>1326</v>
      </c>
      <c r="J176" s="35" t="s">
        <v>522</v>
      </c>
      <c r="K176" s="35" t="s">
        <v>51</v>
      </c>
      <c r="L176" s="42">
        <v>16</v>
      </c>
      <c r="M176" s="21">
        <f t="shared" si="23"/>
        <v>1250</v>
      </c>
      <c r="N176" s="21">
        <f t="shared" si="20"/>
        <v>20000</v>
      </c>
      <c r="O176" s="21">
        <f>M176*3</f>
        <v>3750</v>
      </c>
      <c r="P176" s="21">
        <f>M176*13*0.8</f>
        <v>13000</v>
      </c>
      <c r="Q176" s="21">
        <f t="shared" si="22"/>
        <v>185.71428571428572</v>
      </c>
      <c r="R176" s="21">
        <f t="shared" si="21"/>
        <v>742.85714285714289</v>
      </c>
      <c r="S176" s="13"/>
      <c r="T176" s="13"/>
      <c r="U176" s="13"/>
      <c r="V176" s="40"/>
      <c r="W176" s="13"/>
    </row>
    <row r="177" spans="1:23" ht="31.5" customHeight="1" x14ac:dyDescent="0.35">
      <c r="A177" s="14">
        <v>177</v>
      </c>
      <c r="B177" s="51" t="s">
        <v>517</v>
      </c>
      <c r="C177" s="35" t="s">
        <v>525</v>
      </c>
      <c r="D177" s="35" t="s">
        <v>526</v>
      </c>
      <c r="E177" s="35" t="s">
        <v>527</v>
      </c>
      <c r="F177" s="35" t="s">
        <v>528</v>
      </c>
      <c r="G177" s="35" t="s">
        <v>529</v>
      </c>
      <c r="H177" s="31">
        <v>2.5</v>
      </c>
      <c r="I177" s="108" t="s">
        <v>1327</v>
      </c>
      <c r="J177" s="35" t="s">
        <v>522</v>
      </c>
      <c r="K177" s="35" t="s">
        <v>35</v>
      </c>
      <c r="L177" s="42">
        <v>20</v>
      </c>
      <c r="M177" s="21">
        <f t="shared" si="23"/>
        <v>6250</v>
      </c>
      <c r="N177" s="21">
        <f t="shared" si="20"/>
        <v>125000</v>
      </c>
      <c r="O177" s="21">
        <f>M177*L177</f>
        <v>125000</v>
      </c>
      <c r="P177" s="21">
        <v>0</v>
      </c>
      <c r="Q177" s="21">
        <f t="shared" si="22"/>
        <v>0</v>
      </c>
      <c r="R177" s="21">
        <f t="shared" si="21"/>
        <v>0</v>
      </c>
      <c r="S177" s="13"/>
      <c r="T177" s="13"/>
      <c r="U177" s="13"/>
      <c r="V177" s="40"/>
      <c r="W177" s="13"/>
    </row>
    <row r="178" spans="1:23" ht="18.75" customHeight="1" x14ac:dyDescent="0.35">
      <c r="A178" s="14">
        <v>178</v>
      </c>
      <c r="B178" s="51" t="s">
        <v>517</v>
      </c>
      <c r="C178" s="35" t="s">
        <v>530</v>
      </c>
      <c r="D178" s="35" t="s">
        <v>531</v>
      </c>
      <c r="E178" s="35" t="s">
        <v>532</v>
      </c>
      <c r="F178" s="35" t="s">
        <v>533</v>
      </c>
      <c r="G178" s="35" t="s">
        <v>23</v>
      </c>
      <c r="H178" s="17">
        <v>6</v>
      </c>
      <c r="I178" s="108" t="s">
        <v>1328</v>
      </c>
      <c r="J178" s="35" t="s">
        <v>522</v>
      </c>
      <c r="K178" s="35" t="s">
        <v>35</v>
      </c>
      <c r="L178" s="42">
        <v>50</v>
      </c>
      <c r="M178" s="21">
        <f t="shared" si="23"/>
        <v>15000</v>
      </c>
      <c r="N178" s="21">
        <f t="shared" si="20"/>
        <v>750000</v>
      </c>
      <c r="O178" s="21">
        <f>M178*25</f>
        <v>375000</v>
      </c>
      <c r="P178" s="21">
        <f>M178*25*0.8</f>
        <v>300000</v>
      </c>
      <c r="Q178" s="21">
        <f t="shared" si="22"/>
        <v>4285.7142857142853</v>
      </c>
      <c r="R178" s="21">
        <f t="shared" si="21"/>
        <v>17142.857142857141</v>
      </c>
      <c r="S178" s="13"/>
      <c r="T178" s="13"/>
      <c r="U178" s="13"/>
      <c r="V178" s="40"/>
      <c r="W178" s="13"/>
    </row>
    <row r="179" spans="1:23" ht="18.75" customHeight="1" x14ac:dyDescent="0.35">
      <c r="A179" s="14">
        <v>179</v>
      </c>
      <c r="B179" s="51" t="s">
        <v>517</v>
      </c>
      <c r="C179" s="35" t="s">
        <v>534</v>
      </c>
      <c r="D179" s="35" t="s">
        <v>535</v>
      </c>
      <c r="E179" s="35" t="s">
        <v>523</v>
      </c>
      <c r="F179" s="35" t="s">
        <v>536</v>
      </c>
      <c r="G179" s="35" t="s">
        <v>23</v>
      </c>
      <c r="H179" s="31">
        <v>4.4000000000000004</v>
      </c>
      <c r="I179" s="35" t="s">
        <v>1329</v>
      </c>
      <c r="J179" s="35" t="s">
        <v>522</v>
      </c>
      <c r="K179" s="35" t="s">
        <v>51</v>
      </c>
      <c r="L179" s="42">
        <v>12</v>
      </c>
      <c r="M179" s="21">
        <f t="shared" si="23"/>
        <v>11000</v>
      </c>
      <c r="N179" s="21">
        <f t="shared" si="20"/>
        <v>132000</v>
      </c>
      <c r="O179" s="21">
        <f>M179*2</f>
        <v>22000</v>
      </c>
      <c r="P179" s="21">
        <f>M179*10*0.8</f>
        <v>88000</v>
      </c>
      <c r="Q179" s="21">
        <f t="shared" si="22"/>
        <v>1257.1428571428571</v>
      </c>
      <c r="R179" s="21">
        <f t="shared" si="21"/>
        <v>5028.5714285714284</v>
      </c>
      <c r="S179" s="13"/>
      <c r="T179" s="13"/>
      <c r="U179" s="13"/>
      <c r="V179" s="40"/>
      <c r="W179" s="13"/>
    </row>
    <row r="180" spans="1:23" ht="18.75" customHeight="1" x14ac:dyDescent="0.35">
      <c r="A180" s="14">
        <v>180</v>
      </c>
      <c r="B180" s="51" t="s">
        <v>517</v>
      </c>
      <c r="C180" s="35" t="s">
        <v>537</v>
      </c>
      <c r="D180" s="35" t="s">
        <v>538</v>
      </c>
      <c r="E180" s="35" t="s">
        <v>21</v>
      </c>
      <c r="F180" s="35" t="s">
        <v>539</v>
      </c>
      <c r="G180" s="35" t="s">
        <v>23</v>
      </c>
      <c r="H180" s="31">
        <v>8.4</v>
      </c>
      <c r="I180" s="108" t="s">
        <v>1330</v>
      </c>
      <c r="J180" s="35" t="s">
        <v>24</v>
      </c>
      <c r="K180" s="35" t="s">
        <v>35</v>
      </c>
      <c r="L180" s="42">
        <v>10</v>
      </c>
      <c r="M180" s="21">
        <f t="shared" si="23"/>
        <v>21000</v>
      </c>
      <c r="N180" s="21">
        <f t="shared" si="20"/>
        <v>210000</v>
      </c>
      <c r="O180" s="21">
        <f>M180*3</f>
        <v>63000</v>
      </c>
      <c r="P180" s="21">
        <f>M180*7*0.8</f>
        <v>117600</v>
      </c>
      <c r="Q180" s="21">
        <f t="shared" si="22"/>
        <v>1680</v>
      </c>
      <c r="R180" s="21">
        <f t="shared" si="21"/>
        <v>6720</v>
      </c>
      <c r="S180" s="13"/>
      <c r="T180" s="13"/>
      <c r="U180" s="13"/>
      <c r="V180" s="40"/>
      <c r="W180" s="13"/>
    </row>
    <row r="181" spans="1:23" ht="18.75" customHeight="1" x14ac:dyDescent="0.35">
      <c r="A181" s="14">
        <v>181</v>
      </c>
      <c r="B181" s="51" t="s">
        <v>517</v>
      </c>
      <c r="C181" s="35" t="s">
        <v>540</v>
      </c>
      <c r="D181" s="35" t="s">
        <v>541</v>
      </c>
      <c r="E181" s="35" t="s">
        <v>542</v>
      </c>
      <c r="F181" s="35" t="s">
        <v>543</v>
      </c>
      <c r="G181" s="35" t="s">
        <v>23</v>
      </c>
      <c r="H181" s="31">
        <v>2.8</v>
      </c>
      <c r="I181" s="108" t="s">
        <v>1331</v>
      </c>
      <c r="J181" s="35" t="s">
        <v>24</v>
      </c>
      <c r="K181" s="35" t="s">
        <v>51</v>
      </c>
      <c r="L181" s="42">
        <v>10</v>
      </c>
      <c r="M181" s="21">
        <f t="shared" si="23"/>
        <v>7000</v>
      </c>
      <c r="N181" s="21">
        <f t="shared" si="20"/>
        <v>70000</v>
      </c>
      <c r="O181" s="21">
        <f>M181*3</f>
        <v>21000</v>
      </c>
      <c r="P181" s="21">
        <f>M181*7*0.8</f>
        <v>39200</v>
      </c>
      <c r="Q181" s="21">
        <f t="shared" si="22"/>
        <v>560</v>
      </c>
      <c r="R181" s="21">
        <f t="shared" si="21"/>
        <v>2240</v>
      </c>
      <c r="S181" s="13"/>
      <c r="T181" s="13"/>
      <c r="U181" s="13"/>
      <c r="V181" s="40"/>
      <c r="W181" s="13"/>
    </row>
    <row r="182" spans="1:23" ht="18.75" customHeight="1" x14ac:dyDescent="0.35">
      <c r="A182" s="14">
        <v>182</v>
      </c>
      <c r="B182" s="51" t="s">
        <v>517</v>
      </c>
      <c r="C182" s="35" t="s">
        <v>544</v>
      </c>
      <c r="D182" s="35" t="s">
        <v>545</v>
      </c>
      <c r="E182" s="35" t="s">
        <v>546</v>
      </c>
      <c r="F182" s="35" t="s">
        <v>547</v>
      </c>
      <c r="G182" s="35" t="s">
        <v>84</v>
      </c>
      <c r="H182" s="31">
        <v>0.05</v>
      </c>
      <c r="I182" s="108" t="s">
        <v>1332</v>
      </c>
      <c r="J182" s="35" t="s">
        <v>24</v>
      </c>
      <c r="K182" s="35" t="s">
        <v>35</v>
      </c>
      <c r="L182" s="42">
        <v>5</v>
      </c>
      <c r="M182" s="21">
        <f>H182*10000</f>
        <v>500</v>
      </c>
      <c r="N182" s="21">
        <f t="shared" si="20"/>
        <v>2500</v>
      </c>
      <c r="O182" s="21">
        <f>M182*L182</f>
        <v>2500</v>
      </c>
      <c r="P182" s="21">
        <v>0</v>
      </c>
      <c r="Q182" s="21">
        <f t="shared" si="22"/>
        <v>0</v>
      </c>
      <c r="R182" s="21">
        <f t="shared" si="21"/>
        <v>0</v>
      </c>
      <c r="S182" s="13"/>
      <c r="T182" s="13"/>
      <c r="U182" s="13"/>
      <c r="V182" s="40"/>
      <c r="W182" s="13"/>
    </row>
    <row r="183" spans="1:23" ht="18.75" customHeight="1" x14ac:dyDescent="0.35">
      <c r="A183" s="14">
        <v>183</v>
      </c>
      <c r="B183" s="51" t="s">
        <v>517</v>
      </c>
      <c r="C183" s="35" t="s">
        <v>548</v>
      </c>
      <c r="D183" s="35" t="s">
        <v>239</v>
      </c>
      <c r="E183" s="35" t="s">
        <v>549</v>
      </c>
      <c r="F183" s="35" t="s">
        <v>550</v>
      </c>
      <c r="G183" s="35" t="s">
        <v>113</v>
      </c>
      <c r="H183" s="31">
        <v>0.6</v>
      </c>
      <c r="I183" s="108" t="s">
        <v>1333</v>
      </c>
      <c r="J183" s="35" t="s">
        <v>24</v>
      </c>
      <c r="K183" s="35" t="s">
        <v>35</v>
      </c>
      <c r="L183" s="42">
        <v>9</v>
      </c>
      <c r="M183" s="21">
        <f>H183*10000*0.25</f>
        <v>1500</v>
      </c>
      <c r="N183" s="21">
        <f t="shared" si="20"/>
        <v>13500</v>
      </c>
      <c r="O183" s="21">
        <f>M183*L183</f>
        <v>13500</v>
      </c>
      <c r="P183" s="21">
        <v>0</v>
      </c>
      <c r="Q183" s="21">
        <f t="shared" si="22"/>
        <v>0</v>
      </c>
      <c r="R183" s="21">
        <f t="shared" si="21"/>
        <v>0</v>
      </c>
      <c r="S183" s="13"/>
      <c r="T183" s="13"/>
      <c r="U183" s="13"/>
      <c r="V183" s="40"/>
      <c r="W183" s="13"/>
    </row>
    <row r="184" spans="1:23" ht="18.75" customHeight="1" x14ac:dyDescent="0.35">
      <c r="A184" s="14">
        <v>184</v>
      </c>
      <c r="B184" s="51" t="s">
        <v>517</v>
      </c>
      <c r="C184" s="35" t="s">
        <v>551</v>
      </c>
      <c r="D184" s="35" t="s">
        <v>239</v>
      </c>
      <c r="E184" s="35" t="s">
        <v>552</v>
      </c>
      <c r="F184" s="35" t="s">
        <v>550</v>
      </c>
      <c r="G184" s="35" t="s">
        <v>113</v>
      </c>
      <c r="H184" s="31">
        <v>0.78</v>
      </c>
      <c r="I184" s="108" t="s">
        <v>1334</v>
      </c>
      <c r="J184" s="35" t="s">
        <v>24</v>
      </c>
      <c r="K184" s="35" t="s">
        <v>35</v>
      </c>
      <c r="L184" s="42">
        <v>10</v>
      </c>
      <c r="M184" s="21">
        <f>H184*10000*0.25</f>
        <v>1950</v>
      </c>
      <c r="N184" s="21">
        <f t="shared" ref="N184:N247" si="25">M184*L184</f>
        <v>19500</v>
      </c>
      <c r="O184" s="21">
        <f>M184*3</f>
        <v>5850</v>
      </c>
      <c r="P184" s="21">
        <f>M184*7*0.8</f>
        <v>10920</v>
      </c>
      <c r="Q184" s="21">
        <f t="shared" si="22"/>
        <v>156</v>
      </c>
      <c r="R184" s="21">
        <f t="shared" si="21"/>
        <v>624</v>
      </c>
      <c r="S184" s="13"/>
      <c r="T184" s="13"/>
      <c r="U184" s="13"/>
      <c r="V184" s="40"/>
      <c r="W184" s="13"/>
    </row>
    <row r="185" spans="1:23" ht="18.75" customHeight="1" x14ac:dyDescent="0.35">
      <c r="A185" s="14">
        <v>185</v>
      </c>
      <c r="B185" s="51" t="s">
        <v>517</v>
      </c>
      <c r="C185" s="35" t="s">
        <v>553</v>
      </c>
      <c r="D185" s="35" t="s">
        <v>239</v>
      </c>
      <c r="E185" s="35" t="s">
        <v>554</v>
      </c>
      <c r="F185" s="35" t="s">
        <v>555</v>
      </c>
      <c r="G185" s="35" t="s">
        <v>556</v>
      </c>
      <c r="H185" s="31">
        <v>0.28000000000000003</v>
      </c>
      <c r="I185" s="108" t="s">
        <v>1335</v>
      </c>
      <c r="J185" s="35" t="s">
        <v>24</v>
      </c>
      <c r="K185" s="35" t="s">
        <v>35</v>
      </c>
      <c r="L185" s="42">
        <v>12</v>
      </c>
      <c r="M185" s="21">
        <f>H185*10000*0.25</f>
        <v>700.00000000000011</v>
      </c>
      <c r="N185" s="21">
        <f t="shared" si="25"/>
        <v>8400.0000000000018</v>
      </c>
      <c r="O185" s="21">
        <f>M185*L185</f>
        <v>8400.0000000000018</v>
      </c>
      <c r="P185" s="21">
        <v>0</v>
      </c>
      <c r="Q185" s="21">
        <f t="shared" si="22"/>
        <v>0</v>
      </c>
      <c r="R185" s="21">
        <f t="shared" ref="R185:R248" si="26">Q185*4</f>
        <v>0</v>
      </c>
      <c r="S185" s="13"/>
      <c r="T185" s="13"/>
      <c r="U185" s="13"/>
      <c r="V185" s="40"/>
      <c r="W185" s="13"/>
    </row>
    <row r="186" spans="1:23" ht="18.75" customHeight="1" x14ac:dyDescent="0.35">
      <c r="A186" s="14">
        <v>186</v>
      </c>
      <c r="B186" s="51" t="s">
        <v>517</v>
      </c>
      <c r="C186" s="35" t="s">
        <v>557</v>
      </c>
      <c r="D186" s="35" t="s">
        <v>558</v>
      </c>
      <c r="E186" s="35" t="s">
        <v>21</v>
      </c>
      <c r="F186" s="35" t="s">
        <v>559</v>
      </c>
      <c r="G186" s="35" t="s">
        <v>23</v>
      </c>
      <c r="H186" s="31">
        <v>15.2</v>
      </c>
      <c r="I186" s="108" t="s">
        <v>1325</v>
      </c>
      <c r="J186" s="35" t="s">
        <v>24</v>
      </c>
      <c r="K186" s="35" t="s">
        <v>51</v>
      </c>
      <c r="L186" s="42">
        <v>10</v>
      </c>
      <c r="M186" s="21">
        <f>H186*10000*0.25</f>
        <v>38000</v>
      </c>
      <c r="N186" s="21">
        <f t="shared" si="25"/>
        <v>380000</v>
      </c>
      <c r="O186" s="21">
        <f>M186*3</f>
        <v>114000</v>
      </c>
      <c r="P186" s="21">
        <f>M186*7*0.8</f>
        <v>212800</v>
      </c>
      <c r="Q186" s="21">
        <f t="shared" si="22"/>
        <v>3040</v>
      </c>
      <c r="R186" s="21">
        <f t="shared" si="26"/>
        <v>12160</v>
      </c>
      <c r="S186" s="13"/>
      <c r="T186" s="13"/>
      <c r="U186" s="13"/>
      <c r="V186" s="40"/>
      <c r="W186" s="13"/>
    </row>
    <row r="187" spans="1:23" ht="18.75" customHeight="1" x14ac:dyDescent="0.35">
      <c r="A187" s="14">
        <v>187</v>
      </c>
      <c r="B187" s="51" t="s">
        <v>517</v>
      </c>
      <c r="C187" s="35" t="s">
        <v>560</v>
      </c>
      <c r="D187" s="35" t="s">
        <v>561</v>
      </c>
      <c r="E187" s="35" t="s">
        <v>546</v>
      </c>
      <c r="F187" s="35" t="s">
        <v>547</v>
      </c>
      <c r="G187" s="35" t="s">
        <v>84</v>
      </c>
      <c r="H187" s="31">
        <v>0.05</v>
      </c>
      <c r="I187" s="35" t="s">
        <v>1324</v>
      </c>
      <c r="J187" s="35" t="s">
        <v>24</v>
      </c>
      <c r="K187" s="35" t="s">
        <v>35</v>
      </c>
      <c r="L187" s="42">
        <v>5</v>
      </c>
      <c r="M187" s="21">
        <f>H187*10000</f>
        <v>500</v>
      </c>
      <c r="N187" s="21">
        <f t="shared" si="25"/>
        <v>2500</v>
      </c>
      <c r="O187" s="21">
        <f>M187*L187</f>
        <v>2500</v>
      </c>
      <c r="P187" s="21">
        <v>0</v>
      </c>
      <c r="Q187" s="21">
        <f t="shared" si="22"/>
        <v>0</v>
      </c>
      <c r="R187" s="21">
        <f t="shared" si="26"/>
        <v>0</v>
      </c>
      <c r="S187" s="13"/>
      <c r="T187" s="13"/>
      <c r="U187" s="13"/>
      <c r="V187" s="40"/>
      <c r="W187" s="13"/>
    </row>
    <row r="188" spans="1:23" ht="18.75" customHeight="1" x14ac:dyDescent="0.35">
      <c r="A188" s="14">
        <v>188</v>
      </c>
      <c r="B188" s="51" t="s">
        <v>517</v>
      </c>
      <c r="C188" s="35" t="s">
        <v>562</v>
      </c>
      <c r="D188" s="35" t="s">
        <v>563</v>
      </c>
      <c r="E188" s="35" t="s">
        <v>57</v>
      </c>
      <c r="F188" s="35" t="s">
        <v>564</v>
      </c>
      <c r="G188" s="35" t="s">
        <v>23</v>
      </c>
      <c r="H188" s="17">
        <v>1</v>
      </c>
      <c r="I188" s="35" t="s">
        <v>565</v>
      </c>
      <c r="J188" s="35" t="s">
        <v>24</v>
      </c>
      <c r="K188" s="35" t="s">
        <v>51</v>
      </c>
      <c r="L188" s="42">
        <v>13</v>
      </c>
      <c r="M188" s="21">
        <f t="shared" ref="M188:M204" si="27">H188*10000*0.25</f>
        <v>2500</v>
      </c>
      <c r="N188" s="21">
        <f t="shared" si="25"/>
        <v>32500</v>
      </c>
      <c r="O188" s="21">
        <f>M188*3</f>
        <v>7500</v>
      </c>
      <c r="P188" s="21">
        <f>M188*10*0.8</f>
        <v>20000</v>
      </c>
      <c r="Q188" s="21">
        <f t="shared" si="22"/>
        <v>285.71428571428572</v>
      </c>
      <c r="R188" s="21">
        <f t="shared" si="26"/>
        <v>1142.8571428571429</v>
      </c>
      <c r="S188" s="13"/>
      <c r="T188" s="13"/>
      <c r="U188" s="13"/>
      <c r="V188" s="40"/>
      <c r="W188" s="13"/>
    </row>
    <row r="189" spans="1:23" ht="18.75" customHeight="1" x14ac:dyDescent="0.35">
      <c r="A189" s="14">
        <v>189</v>
      </c>
      <c r="B189" s="51" t="s">
        <v>517</v>
      </c>
      <c r="C189" s="35" t="s">
        <v>566</v>
      </c>
      <c r="D189" s="35" t="s">
        <v>567</v>
      </c>
      <c r="E189" s="35" t="s">
        <v>568</v>
      </c>
      <c r="F189" s="35" t="s">
        <v>569</v>
      </c>
      <c r="G189" s="35" t="s">
        <v>23</v>
      </c>
      <c r="H189" s="17">
        <v>15</v>
      </c>
      <c r="I189" s="108" t="s">
        <v>1323</v>
      </c>
      <c r="J189" s="35" t="s">
        <v>24</v>
      </c>
      <c r="K189" s="35" t="s">
        <v>51</v>
      </c>
      <c r="L189" s="42">
        <v>12</v>
      </c>
      <c r="M189" s="21">
        <f t="shared" si="27"/>
        <v>37500</v>
      </c>
      <c r="N189" s="21">
        <f t="shared" si="25"/>
        <v>450000</v>
      </c>
      <c r="O189" s="21">
        <f>M189*2</f>
        <v>75000</v>
      </c>
      <c r="P189" s="21">
        <f>M189*10*0.8</f>
        <v>300000</v>
      </c>
      <c r="Q189" s="21">
        <f t="shared" si="22"/>
        <v>4285.7142857142853</v>
      </c>
      <c r="R189" s="21">
        <f t="shared" si="26"/>
        <v>17142.857142857141</v>
      </c>
      <c r="S189" s="13"/>
      <c r="T189" s="13"/>
      <c r="U189" s="13"/>
      <c r="V189" s="40"/>
      <c r="W189" s="13"/>
    </row>
    <row r="190" spans="1:23" ht="18.75" customHeight="1" x14ac:dyDescent="0.35">
      <c r="A190" s="14">
        <v>190</v>
      </c>
      <c r="B190" s="51" t="s">
        <v>517</v>
      </c>
      <c r="C190" s="35" t="s">
        <v>570</v>
      </c>
      <c r="D190" s="35" t="s">
        <v>571</v>
      </c>
      <c r="E190" s="35" t="s">
        <v>572</v>
      </c>
      <c r="F190" s="35" t="s">
        <v>573</v>
      </c>
      <c r="G190" s="35" t="s">
        <v>23</v>
      </c>
      <c r="H190" s="31">
        <v>17.7</v>
      </c>
      <c r="I190" s="108" t="s">
        <v>1322</v>
      </c>
      <c r="J190" s="35" t="s">
        <v>522</v>
      </c>
      <c r="K190" s="35" t="s">
        <v>51</v>
      </c>
      <c r="L190" s="42">
        <v>13</v>
      </c>
      <c r="M190" s="21">
        <f t="shared" si="27"/>
        <v>44250</v>
      </c>
      <c r="N190" s="21">
        <f t="shared" si="25"/>
        <v>575250</v>
      </c>
      <c r="O190" s="21">
        <f>M190*3</f>
        <v>132750</v>
      </c>
      <c r="P190" s="21">
        <f>M190*10*0.8</f>
        <v>354000</v>
      </c>
      <c r="Q190" s="21">
        <f t="shared" si="22"/>
        <v>5057.1428571428569</v>
      </c>
      <c r="R190" s="21">
        <f t="shared" si="26"/>
        <v>20228.571428571428</v>
      </c>
      <c r="S190" s="13"/>
      <c r="T190" s="13"/>
      <c r="U190" s="13"/>
      <c r="V190" s="40"/>
      <c r="W190" s="13"/>
    </row>
    <row r="191" spans="1:23" ht="18.75" customHeight="1" x14ac:dyDescent="0.35">
      <c r="A191" s="14">
        <v>191</v>
      </c>
      <c r="B191" s="51" t="s">
        <v>517</v>
      </c>
      <c r="C191" s="35" t="s">
        <v>574</v>
      </c>
      <c r="D191" s="35" t="s">
        <v>575</v>
      </c>
      <c r="E191" s="35" t="s">
        <v>576</v>
      </c>
      <c r="F191" s="35" t="s">
        <v>577</v>
      </c>
      <c r="G191" s="35" t="s">
        <v>23</v>
      </c>
      <c r="H191" s="31">
        <v>5.36</v>
      </c>
      <c r="I191" s="108" t="s">
        <v>1321</v>
      </c>
      <c r="J191" s="35" t="s">
        <v>30</v>
      </c>
      <c r="K191" s="35" t="s">
        <v>35</v>
      </c>
      <c r="L191" s="42">
        <v>12</v>
      </c>
      <c r="M191" s="21">
        <f t="shared" si="27"/>
        <v>13400</v>
      </c>
      <c r="N191" s="21">
        <f t="shared" si="25"/>
        <v>160800</v>
      </c>
      <c r="O191" s="21">
        <f>M191*2</f>
        <v>26800</v>
      </c>
      <c r="P191" s="21">
        <f>M191*10*0.8</f>
        <v>107200</v>
      </c>
      <c r="Q191" s="21">
        <f t="shared" si="22"/>
        <v>1531.4285714285713</v>
      </c>
      <c r="R191" s="21">
        <f t="shared" si="26"/>
        <v>6125.7142857142853</v>
      </c>
      <c r="S191" s="13"/>
      <c r="T191" s="13"/>
      <c r="U191" s="13"/>
      <c r="V191" s="40"/>
      <c r="W191" s="13"/>
    </row>
    <row r="192" spans="1:23" ht="18.75" customHeight="1" x14ac:dyDescent="0.35">
      <c r="A192" s="14">
        <v>192</v>
      </c>
      <c r="B192" s="51" t="s">
        <v>517</v>
      </c>
      <c r="C192" s="35" t="s">
        <v>578</v>
      </c>
      <c r="D192" s="35" t="s">
        <v>239</v>
      </c>
      <c r="E192" s="35" t="s">
        <v>579</v>
      </c>
      <c r="F192" s="35" t="s">
        <v>580</v>
      </c>
      <c r="G192" s="35" t="s">
        <v>187</v>
      </c>
      <c r="H192" s="31">
        <v>2.4</v>
      </c>
      <c r="I192" s="35" t="s">
        <v>1320</v>
      </c>
      <c r="J192" s="35" t="s">
        <v>24</v>
      </c>
      <c r="K192" s="35" t="s">
        <v>35</v>
      </c>
      <c r="L192" s="42">
        <v>20</v>
      </c>
      <c r="M192" s="21">
        <f t="shared" si="27"/>
        <v>6000</v>
      </c>
      <c r="N192" s="21">
        <f t="shared" si="25"/>
        <v>120000</v>
      </c>
      <c r="O192" s="21">
        <f>M192*L192</f>
        <v>120000</v>
      </c>
      <c r="P192" s="21">
        <v>0</v>
      </c>
      <c r="Q192" s="21">
        <f t="shared" si="22"/>
        <v>0</v>
      </c>
      <c r="R192" s="21">
        <f t="shared" si="26"/>
        <v>0</v>
      </c>
      <c r="S192" s="13"/>
      <c r="T192" s="13"/>
      <c r="U192" s="13"/>
      <c r="V192" s="40"/>
      <c r="W192" s="13"/>
    </row>
    <row r="193" spans="1:23" ht="18.75" customHeight="1" x14ac:dyDescent="0.35">
      <c r="A193" s="14">
        <v>193</v>
      </c>
      <c r="B193" s="51" t="s">
        <v>517</v>
      </c>
      <c r="C193" s="35" t="s">
        <v>581</v>
      </c>
      <c r="D193" s="35" t="s">
        <v>258</v>
      </c>
      <c r="E193" s="35" t="s">
        <v>582</v>
      </c>
      <c r="F193" s="35" t="s">
        <v>583</v>
      </c>
      <c r="G193" s="35" t="s">
        <v>23</v>
      </c>
      <c r="H193" s="17">
        <v>3</v>
      </c>
      <c r="I193" s="108" t="s">
        <v>1319</v>
      </c>
      <c r="J193" s="35" t="s">
        <v>522</v>
      </c>
      <c r="K193" s="35" t="s">
        <v>35</v>
      </c>
      <c r="L193" s="42">
        <v>20</v>
      </c>
      <c r="M193" s="21">
        <f t="shared" si="27"/>
        <v>7500</v>
      </c>
      <c r="N193" s="21">
        <f t="shared" si="25"/>
        <v>150000</v>
      </c>
      <c r="O193" s="21">
        <f>M193*5</f>
        <v>37500</v>
      </c>
      <c r="P193" s="21">
        <f>M193*15*0.8</f>
        <v>90000</v>
      </c>
      <c r="Q193" s="21">
        <f t="shared" si="22"/>
        <v>1285.7142857142858</v>
      </c>
      <c r="R193" s="21">
        <f t="shared" si="26"/>
        <v>5142.8571428571431</v>
      </c>
      <c r="S193" s="13"/>
      <c r="T193" s="13"/>
      <c r="U193" s="13"/>
      <c r="V193" s="40"/>
      <c r="W193" s="13"/>
    </row>
    <row r="194" spans="1:23" ht="18.75" customHeight="1" x14ac:dyDescent="0.35">
      <c r="A194" s="14">
        <v>194</v>
      </c>
      <c r="B194" s="51" t="s">
        <v>517</v>
      </c>
      <c r="C194" s="35" t="s">
        <v>584</v>
      </c>
      <c r="D194" s="35" t="s">
        <v>239</v>
      </c>
      <c r="E194" s="35" t="s">
        <v>585</v>
      </c>
      <c r="F194" s="35" t="s">
        <v>586</v>
      </c>
      <c r="G194" s="35" t="s">
        <v>23</v>
      </c>
      <c r="H194" s="31">
        <v>0.37</v>
      </c>
      <c r="I194" s="35" t="s">
        <v>1318</v>
      </c>
      <c r="J194" s="35" t="s">
        <v>522</v>
      </c>
      <c r="K194" s="35" t="s">
        <v>35</v>
      </c>
      <c r="L194" s="42">
        <v>30</v>
      </c>
      <c r="M194" s="21">
        <f t="shared" si="27"/>
        <v>925</v>
      </c>
      <c r="N194" s="21">
        <f t="shared" si="25"/>
        <v>27750</v>
      </c>
      <c r="O194" s="21">
        <f>M194*10</f>
        <v>9250</v>
      </c>
      <c r="P194" s="21">
        <f>M194*20*0.8</f>
        <v>14800</v>
      </c>
      <c r="Q194" s="21">
        <f t="shared" si="22"/>
        <v>211.42857142857142</v>
      </c>
      <c r="R194" s="21">
        <f t="shared" si="26"/>
        <v>845.71428571428567</v>
      </c>
      <c r="S194" s="13"/>
      <c r="T194" s="13"/>
      <c r="U194" s="13"/>
      <c r="V194" s="40"/>
      <c r="W194" s="13"/>
    </row>
    <row r="195" spans="1:23" ht="18.75" customHeight="1" x14ac:dyDescent="0.35">
      <c r="A195" s="14">
        <v>195</v>
      </c>
      <c r="B195" s="51" t="s">
        <v>517</v>
      </c>
      <c r="C195" s="35" t="s">
        <v>587</v>
      </c>
      <c r="D195" s="35" t="s">
        <v>588</v>
      </c>
      <c r="E195" s="35" t="s">
        <v>589</v>
      </c>
      <c r="F195" s="35" t="s">
        <v>590</v>
      </c>
      <c r="G195" s="35" t="s">
        <v>23</v>
      </c>
      <c r="H195" s="31">
        <v>2.44</v>
      </c>
      <c r="I195" s="108" t="s">
        <v>1317</v>
      </c>
      <c r="J195" s="35" t="s">
        <v>522</v>
      </c>
      <c r="K195" s="35" t="s">
        <v>51</v>
      </c>
      <c r="L195" s="42">
        <v>8</v>
      </c>
      <c r="M195" s="21">
        <f t="shared" si="27"/>
        <v>6100</v>
      </c>
      <c r="N195" s="21">
        <f t="shared" si="25"/>
        <v>48800</v>
      </c>
      <c r="O195" s="21">
        <f>M195*2</f>
        <v>12200</v>
      </c>
      <c r="P195" s="21">
        <f>M195*6*0.8</f>
        <v>29280</v>
      </c>
      <c r="Q195" s="21">
        <f t="shared" si="22"/>
        <v>418.28571428571428</v>
      </c>
      <c r="R195" s="21">
        <f t="shared" si="26"/>
        <v>1673.1428571428571</v>
      </c>
      <c r="S195" s="13"/>
      <c r="T195" s="13"/>
      <c r="U195" s="13"/>
      <c r="V195" s="40"/>
      <c r="W195" s="13"/>
    </row>
    <row r="196" spans="1:23" ht="18.75" customHeight="1" x14ac:dyDescent="0.35">
      <c r="A196" s="14">
        <v>196</v>
      </c>
      <c r="B196" s="51" t="s">
        <v>517</v>
      </c>
      <c r="C196" s="35" t="s">
        <v>591</v>
      </c>
      <c r="D196" s="35" t="s">
        <v>592</v>
      </c>
      <c r="E196" s="35" t="s">
        <v>593</v>
      </c>
      <c r="F196" s="35" t="s">
        <v>594</v>
      </c>
      <c r="G196" s="35" t="s">
        <v>23</v>
      </c>
      <c r="H196" s="31">
        <v>15.2</v>
      </c>
      <c r="I196" s="35" t="s">
        <v>595</v>
      </c>
      <c r="J196" s="35" t="s">
        <v>30</v>
      </c>
      <c r="K196" s="35" t="s">
        <v>51</v>
      </c>
      <c r="L196" s="42">
        <v>10</v>
      </c>
      <c r="M196" s="21">
        <f t="shared" si="27"/>
        <v>38000</v>
      </c>
      <c r="N196" s="21">
        <f t="shared" si="25"/>
        <v>380000</v>
      </c>
      <c r="O196" s="21">
        <f t="shared" ref="O196:O201" si="28">M196*3</f>
        <v>114000</v>
      </c>
      <c r="P196" s="21">
        <f t="shared" ref="P196:P201" si="29">M196*7*0.8</f>
        <v>212800</v>
      </c>
      <c r="Q196" s="21">
        <f t="shared" si="22"/>
        <v>3040</v>
      </c>
      <c r="R196" s="21">
        <f t="shared" si="26"/>
        <v>12160</v>
      </c>
      <c r="S196" s="13"/>
      <c r="T196" s="13"/>
      <c r="U196" s="13"/>
      <c r="V196" s="40"/>
      <c r="W196" s="13"/>
    </row>
    <row r="197" spans="1:23" ht="18.75" customHeight="1" x14ac:dyDescent="0.35">
      <c r="A197" s="14">
        <v>197</v>
      </c>
      <c r="B197" s="51" t="s">
        <v>517</v>
      </c>
      <c r="C197" s="35" t="s">
        <v>596</v>
      </c>
      <c r="D197" s="35" t="s">
        <v>519</v>
      </c>
      <c r="E197" s="35" t="s">
        <v>597</v>
      </c>
      <c r="F197" s="35" t="s">
        <v>598</v>
      </c>
      <c r="G197" s="35" t="s">
        <v>23</v>
      </c>
      <c r="H197" s="31">
        <v>4.5</v>
      </c>
      <c r="I197" s="108" t="s">
        <v>1316</v>
      </c>
      <c r="J197" s="35" t="s">
        <v>522</v>
      </c>
      <c r="K197" s="35" t="s">
        <v>35</v>
      </c>
      <c r="L197" s="42">
        <v>10</v>
      </c>
      <c r="M197" s="21">
        <f t="shared" si="27"/>
        <v>11250</v>
      </c>
      <c r="N197" s="21">
        <f t="shared" si="25"/>
        <v>112500</v>
      </c>
      <c r="O197" s="21">
        <f t="shared" si="28"/>
        <v>33750</v>
      </c>
      <c r="P197" s="21">
        <f t="shared" si="29"/>
        <v>63000</v>
      </c>
      <c r="Q197" s="21">
        <f t="shared" si="22"/>
        <v>900</v>
      </c>
      <c r="R197" s="21">
        <f t="shared" si="26"/>
        <v>3600</v>
      </c>
      <c r="S197" s="13"/>
      <c r="T197" s="13"/>
      <c r="U197" s="13"/>
      <c r="V197" s="40"/>
      <c r="W197" s="13"/>
    </row>
    <row r="198" spans="1:23" ht="43.5" customHeight="1" x14ac:dyDescent="0.35">
      <c r="A198" s="14">
        <v>198</v>
      </c>
      <c r="B198" s="51" t="s">
        <v>517</v>
      </c>
      <c r="C198" s="35" t="s">
        <v>599</v>
      </c>
      <c r="D198" s="35" t="s">
        <v>600</v>
      </c>
      <c r="E198" s="35" t="s">
        <v>440</v>
      </c>
      <c r="F198" s="35" t="s">
        <v>536</v>
      </c>
      <c r="G198" s="35" t="s">
        <v>23</v>
      </c>
      <c r="H198" s="31">
        <v>7.3</v>
      </c>
      <c r="I198" s="108" t="s">
        <v>1315</v>
      </c>
      <c r="J198" s="35" t="s">
        <v>522</v>
      </c>
      <c r="K198" s="35" t="s">
        <v>51</v>
      </c>
      <c r="L198" s="42">
        <v>10</v>
      </c>
      <c r="M198" s="21">
        <f t="shared" si="27"/>
        <v>18250</v>
      </c>
      <c r="N198" s="21">
        <f t="shared" si="25"/>
        <v>182500</v>
      </c>
      <c r="O198" s="21">
        <f t="shared" si="28"/>
        <v>54750</v>
      </c>
      <c r="P198" s="21">
        <f t="shared" si="29"/>
        <v>102200</v>
      </c>
      <c r="Q198" s="21">
        <f t="shared" si="22"/>
        <v>1460</v>
      </c>
      <c r="R198" s="21">
        <f t="shared" si="26"/>
        <v>5840</v>
      </c>
      <c r="S198" s="13"/>
      <c r="T198" s="13"/>
      <c r="U198" s="13"/>
      <c r="V198" s="40"/>
      <c r="W198" s="13"/>
    </row>
    <row r="199" spans="1:23" ht="43.5" customHeight="1" x14ac:dyDescent="0.35">
      <c r="A199" s="14">
        <v>199</v>
      </c>
      <c r="B199" s="51" t="s">
        <v>517</v>
      </c>
      <c r="C199" s="35" t="s">
        <v>601</v>
      </c>
      <c r="D199" s="35" t="s">
        <v>602</v>
      </c>
      <c r="E199" s="35" t="s">
        <v>523</v>
      </c>
      <c r="F199" s="35" t="s">
        <v>536</v>
      </c>
      <c r="G199" s="35" t="s">
        <v>23</v>
      </c>
      <c r="H199" s="31">
        <v>6.5</v>
      </c>
      <c r="I199" s="108" t="s">
        <v>1314</v>
      </c>
      <c r="J199" s="35" t="s">
        <v>522</v>
      </c>
      <c r="K199" s="35" t="s">
        <v>51</v>
      </c>
      <c r="L199" s="42">
        <v>10</v>
      </c>
      <c r="M199" s="21">
        <f t="shared" si="27"/>
        <v>16250</v>
      </c>
      <c r="N199" s="21">
        <f t="shared" si="25"/>
        <v>162500</v>
      </c>
      <c r="O199" s="21">
        <f t="shared" si="28"/>
        <v>48750</v>
      </c>
      <c r="P199" s="21">
        <f t="shared" si="29"/>
        <v>91000</v>
      </c>
      <c r="Q199" s="21">
        <f t="shared" si="22"/>
        <v>1300</v>
      </c>
      <c r="R199" s="21">
        <f t="shared" si="26"/>
        <v>5200</v>
      </c>
      <c r="S199" s="13"/>
      <c r="T199" s="13"/>
      <c r="U199" s="13"/>
      <c r="V199" s="40"/>
      <c r="W199" s="13"/>
    </row>
    <row r="200" spans="1:23" ht="18.75" customHeight="1" x14ac:dyDescent="0.35">
      <c r="A200" s="14">
        <v>200</v>
      </c>
      <c r="B200" s="51" t="s">
        <v>517</v>
      </c>
      <c r="C200" s="35" t="s">
        <v>603</v>
      </c>
      <c r="D200" s="35" t="s">
        <v>604</v>
      </c>
      <c r="E200" s="35" t="s">
        <v>523</v>
      </c>
      <c r="F200" s="35" t="s">
        <v>536</v>
      </c>
      <c r="G200" s="35" t="s">
        <v>23</v>
      </c>
      <c r="H200" s="31">
        <v>16.5</v>
      </c>
      <c r="I200" s="108" t="s">
        <v>1313</v>
      </c>
      <c r="J200" s="35" t="s">
        <v>522</v>
      </c>
      <c r="K200" s="35" t="s">
        <v>51</v>
      </c>
      <c r="L200" s="42">
        <v>10</v>
      </c>
      <c r="M200" s="21">
        <f t="shared" si="27"/>
        <v>41250</v>
      </c>
      <c r="N200" s="21">
        <f t="shared" si="25"/>
        <v>412500</v>
      </c>
      <c r="O200" s="21">
        <f t="shared" si="28"/>
        <v>123750</v>
      </c>
      <c r="P200" s="21">
        <f t="shared" si="29"/>
        <v>231000</v>
      </c>
      <c r="Q200" s="21">
        <f t="shared" ref="Q200:Q263" si="30">P200/70</f>
        <v>3300</v>
      </c>
      <c r="R200" s="21">
        <f t="shared" si="26"/>
        <v>13200</v>
      </c>
      <c r="S200" s="13"/>
      <c r="T200" s="13"/>
      <c r="U200" s="13"/>
      <c r="V200" s="40"/>
      <c r="W200" s="13"/>
    </row>
    <row r="201" spans="1:23" ht="18.75" customHeight="1" x14ac:dyDescent="0.35">
      <c r="A201" s="14">
        <v>201</v>
      </c>
      <c r="B201" s="51" t="s">
        <v>517</v>
      </c>
      <c r="C201" s="35" t="s">
        <v>605</v>
      </c>
      <c r="D201" s="35" t="s">
        <v>588</v>
      </c>
      <c r="E201" s="35" t="s">
        <v>606</v>
      </c>
      <c r="F201" s="35" t="s">
        <v>607</v>
      </c>
      <c r="G201" s="35" t="s">
        <v>23</v>
      </c>
      <c r="H201" s="31">
        <v>20.3</v>
      </c>
      <c r="I201" s="108" t="s">
        <v>1312</v>
      </c>
      <c r="J201" s="35" t="s">
        <v>24</v>
      </c>
      <c r="K201" s="35" t="s">
        <v>51</v>
      </c>
      <c r="L201" s="42">
        <v>10</v>
      </c>
      <c r="M201" s="21">
        <f t="shared" si="27"/>
        <v>50750</v>
      </c>
      <c r="N201" s="21">
        <f t="shared" si="25"/>
        <v>507500</v>
      </c>
      <c r="O201" s="21">
        <f t="shared" si="28"/>
        <v>152250</v>
      </c>
      <c r="P201" s="21">
        <f t="shared" si="29"/>
        <v>284200</v>
      </c>
      <c r="Q201" s="21">
        <f t="shared" si="30"/>
        <v>4060</v>
      </c>
      <c r="R201" s="21">
        <f t="shared" si="26"/>
        <v>16240</v>
      </c>
      <c r="S201" s="13"/>
      <c r="T201" s="13"/>
      <c r="U201" s="13"/>
      <c r="V201" s="40"/>
      <c r="W201" s="13"/>
    </row>
    <row r="202" spans="1:23" ht="18.75" customHeight="1" x14ac:dyDescent="0.35">
      <c r="A202" s="14">
        <v>202</v>
      </c>
      <c r="B202" s="51" t="s">
        <v>517</v>
      </c>
      <c r="C202" s="35" t="s">
        <v>608</v>
      </c>
      <c r="D202" s="35" t="s">
        <v>609</v>
      </c>
      <c r="E202" s="35" t="s">
        <v>610</v>
      </c>
      <c r="F202" s="35" t="s">
        <v>611</v>
      </c>
      <c r="G202" s="35" t="s">
        <v>23</v>
      </c>
      <c r="H202" s="31">
        <v>0.5</v>
      </c>
      <c r="I202" s="108" t="s">
        <v>1311</v>
      </c>
      <c r="J202" s="35" t="s">
        <v>24</v>
      </c>
      <c r="K202" s="35" t="s">
        <v>35</v>
      </c>
      <c r="L202" s="42">
        <v>8</v>
      </c>
      <c r="M202" s="21">
        <f t="shared" si="27"/>
        <v>1250</v>
      </c>
      <c r="N202" s="21">
        <f t="shared" si="25"/>
        <v>10000</v>
      </c>
      <c r="O202" s="21">
        <f>M202*2</f>
        <v>2500</v>
      </c>
      <c r="P202" s="21">
        <f>M202*6*0.8</f>
        <v>6000</v>
      </c>
      <c r="Q202" s="21">
        <f t="shared" si="30"/>
        <v>85.714285714285708</v>
      </c>
      <c r="R202" s="21">
        <f t="shared" si="26"/>
        <v>342.85714285714283</v>
      </c>
      <c r="S202" s="13"/>
      <c r="T202" s="13"/>
      <c r="U202" s="13"/>
      <c r="V202" s="40"/>
      <c r="W202" s="13"/>
    </row>
    <row r="203" spans="1:23" ht="18.75" customHeight="1" x14ac:dyDescent="0.35">
      <c r="A203" s="14">
        <v>203</v>
      </c>
      <c r="B203" s="51" t="s">
        <v>517</v>
      </c>
      <c r="C203" s="35" t="s">
        <v>612</v>
      </c>
      <c r="D203" s="35" t="s">
        <v>613</v>
      </c>
      <c r="E203" s="35" t="s">
        <v>614</v>
      </c>
      <c r="F203" s="35" t="s">
        <v>615</v>
      </c>
      <c r="G203" s="35" t="s">
        <v>23</v>
      </c>
      <c r="H203" s="17">
        <v>8</v>
      </c>
      <c r="I203" s="35" t="s">
        <v>616</v>
      </c>
      <c r="J203" s="35" t="s">
        <v>24</v>
      </c>
      <c r="K203" s="35" t="s">
        <v>51</v>
      </c>
      <c r="L203" s="42">
        <v>12</v>
      </c>
      <c r="M203" s="21">
        <f t="shared" si="27"/>
        <v>20000</v>
      </c>
      <c r="N203" s="21">
        <f t="shared" si="25"/>
        <v>240000</v>
      </c>
      <c r="O203" s="21">
        <f>M203*2</f>
        <v>40000</v>
      </c>
      <c r="P203" s="21">
        <f>M203*10*0.8</f>
        <v>160000</v>
      </c>
      <c r="Q203" s="21">
        <f t="shared" si="30"/>
        <v>2285.7142857142858</v>
      </c>
      <c r="R203" s="21">
        <f t="shared" si="26"/>
        <v>9142.8571428571431</v>
      </c>
      <c r="S203" s="13"/>
      <c r="T203" s="13"/>
      <c r="U203" s="13"/>
      <c r="V203" s="40"/>
      <c r="W203" s="13"/>
    </row>
    <row r="204" spans="1:23" ht="18.75" customHeight="1" x14ac:dyDescent="0.35">
      <c r="A204" s="14">
        <v>204</v>
      </c>
      <c r="B204" s="51" t="s">
        <v>517</v>
      </c>
      <c r="C204" s="35" t="s">
        <v>617</v>
      </c>
      <c r="D204" s="35" t="s">
        <v>571</v>
      </c>
      <c r="E204" s="35" t="s">
        <v>618</v>
      </c>
      <c r="F204" s="35" t="s">
        <v>619</v>
      </c>
      <c r="G204" s="35" t="s">
        <v>23</v>
      </c>
      <c r="H204" s="31">
        <v>16.5</v>
      </c>
      <c r="I204" s="108" t="s">
        <v>1310</v>
      </c>
      <c r="J204" s="35" t="s">
        <v>24</v>
      </c>
      <c r="K204" s="35" t="s">
        <v>51</v>
      </c>
      <c r="L204" s="42">
        <v>8</v>
      </c>
      <c r="M204" s="21">
        <f t="shared" si="27"/>
        <v>41250</v>
      </c>
      <c r="N204" s="21">
        <f t="shared" si="25"/>
        <v>330000</v>
      </c>
      <c r="O204" s="21">
        <f>M204*2</f>
        <v>82500</v>
      </c>
      <c r="P204" s="21">
        <f>M204*6*0.8</f>
        <v>198000</v>
      </c>
      <c r="Q204" s="21">
        <f t="shared" si="30"/>
        <v>2828.5714285714284</v>
      </c>
      <c r="R204" s="21">
        <f t="shared" si="26"/>
        <v>11314.285714285714</v>
      </c>
      <c r="S204" s="13"/>
      <c r="T204" s="13"/>
      <c r="U204" s="13"/>
      <c r="V204" s="40"/>
      <c r="W204" s="13"/>
    </row>
    <row r="205" spans="1:23" ht="18.75" customHeight="1" x14ac:dyDescent="0.35">
      <c r="A205" s="14">
        <v>205</v>
      </c>
      <c r="B205" s="51" t="s">
        <v>517</v>
      </c>
      <c r="C205" s="35" t="s">
        <v>620</v>
      </c>
      <c r="D205" s="35" t="s">
        <v>621</v>
      </c>
      <c r="E205" s="35" t="s">
        <v>546</v>
      </c>
      <c r="F205" s="35" t="s">
        <v>622</v>
      </c>
      <c r="G205" s="35" t="s">
        <v>84</v>
      </c>
      <c r="H205" s="31">
        <v>0.05</v>
      </c>
      <c r="I205" s="108" t="s">
        <v>1309</v>
      </c>
      <c r="J205" s="35" t="s">
        <v>24</v>
      </c>
      <c r="K205" s="35" t="s">
        <v>35</v>
      </c>
      <c r="L205" s="42">
        <v>5</v>
      </c>
      <c r="M205" s="21">
        <f>H205*10000</f>
        <v>500</v>
      </c>
      <c r="N205" s="21">
        <f t="shared" si="25"/>
        <v>2500</v>
      </c>
      <c r="O205" s="21">
        <f>M205*L205</f>
        <v>2500</v>
      </c>
      <c r="P205" s="21">
        <v>0</v>
      </c>
      <c r="Q205" s="21">
        <f t="shared" si="30"/>
        <v>0</v>
      </c>
      <c r="R205" s="21">
        <f t="shared" si="26"/>
        <v>0</v>
      </c>
      <c r="S205" s="13"/>
      <c r="T205" s="13"/>
      <c r="U205" s="13"/>
      <c r="V205" s="40"/>
      <c r="W205" s="13"/>
    </row>
    <row r="206" spans="1:23" ht="18.75" customHeight="1" x14ac:dyDescent="0.35">
      <c r="A206" s="14">
        <v>206</v>
      </c>
      <c r="B206" s="51" t="s">
        <v>517</v>
      </c>
      <c r="C206" s="35" t="s">
        <v>623</v>
      </c>
      <c r="D206" s="35" t="s">
        <v>624</v>
      </c>
      <c r="E206" s="35" t="s">
        <v>610</v>
      </c>
      <c r="F206" s="35" t="s">
        <v>625</v>
      </c>
      <c r="G206" s="35" t="s">
        <v>23</v>
      </c>
      <c r="H206" s="31">
        <v>5.8</v>
      </c>
      <c r="I206" s="108" t="s">
        <v>1308</v>
      </c>
      <c r="J206" s="35" t="s">
        <v>24</v>
      </c>
      <c r="K206" s="35" t="s">
        <v>35</v>
      </c>
      <c r="L206" s="42">
        <v>8</v>
      </c>
      <c r="M206" s="21">
        <f t="shared" ref="M206:M237" si="31">H206*10000*0.25</f>
        <v>14500</v>
      </c>
      <c r="N206" s="21">
        <f t="shared" si="25"/>
        <v>116000</v>
      </c>
      <c r="O206" s="21">
        <f>M206*2</f>
        <v>29000</v>
      </c>
      <c r="P206" s="21">
        <f>M206*6*0.8</f>
        <v>69600</v>
      </c>
      <c r="Q206" s="21">
        <f t="shared" si="30"/>
        <v>994.28571428571433</v>
      </c>
      <c r="R206" s="21">
        <f t="shared" si="26"/>
        <v>3977.1428571428573</v>
      </c>
      <c r="S206" s="13"/>
      <c r="T206" s="13"/>
      <c r="U206" s="13"/>
      <c r="V206" s="40"/>
      <c r="W206" s="13"/>
    </row>
    <row r="207" spans="1:23" ht="18.75" customHeight="1" x14ac:dyDescent="0.35">
      <c r="A207" s="14">
        <v>207</v>
      </c>
      <c r="B207" s="51" t="s">
        <v>517</v>
      </c>
      <c r="C207" s="35" t="s">
        <v>626</v>
      </c>
      <c r="D207" s="35" t="s">
        <v>627</v>
      </c>
      <c r="E207" s="35" t="s">
        <v>546</v>
      </c>
      <c r="F207" s="35" t="s">
        <v>628</v>
      </c>
      <c r="G207" s="35" t="s">
        <v>629</v>
      </c>
      <c r="H207" s="31">
        <v>1.1299999999999999</v>
      </c>
      <c r="I207" s="108" t="s">
        <v>1307</v>
      </c>
      <c r="J207" s="35" t="s">
        <v>24</v>
      </c>
      <c r="K207" s="35" t="s">
        <v>35</v>
      </c>
      <c r="L207" s="42">
        <v>5</v>
      </c>
      <c r="M207" s="21">
        <f t="shared" si="31"/>
        <v>2824.9999999999995</v>
      </c>
      <c r="N207" s="21">
        <f t="shared" si="25"/>
        <v>14124.999999999998</v>
      </c>
      <c r="O207" s="21">
        <f>M207*L207</f>
        <v>14124.999999999998</v>
      </c>
      <c r="P207" s="21">
        <v>0</v>
      </c>
      <c r="Q207" s="21">
        <f t="shared" si="30"/>
        <v>0</v>
      </c>
      <c r="R207" s="21">
        <f t="shared" si="26"/>
        <v>0</v>
      </c>
      <c r="S207" s="13"/>
      <c r="T207" s="13"/>
      <c r="U207" s="13"/>
      <c r="V207" s="40"/>
      <c r="W207" s="13"/>
    </row>
    <row r="208" spans="1:23" ht="18.75" customHeight="1" x14ac:dyDescent="0.35">
      <c r="A208" s="14">
        <v>208</v>
      </c>
      <c r="B208" s="51" t="s">
        <v>517</v>
      </c>
      <c r="C208" s="35" t="s">
        <v>630</v>
      </c>
      <c r="D208" s="35" t="s">
        <v>239</v>
      </c>
      <c r="E208" s="35" t="s">
        <v>21</v>
      </c>
      <c r="F208" s="35" t="s">
        <v>539</v>
      </c>
      <c r="G208" s="35" t="s">
        <v>23</v>
      </c>
      <c r="H208" s="31">
        <v>13.2</v>
      </c>
      <c r="I208" s="108" t="s">
        <v>1306</v>
      </c>
      <c r="J208" s="35" t="s">
        <v>24</v>
      </c>
      <c r="K208" s="35" t="s">
        <v>51</v>
      </c>
      <c r="L208" s="42">
        <v>10</v>
      </c>
      <c r="M208" s="21">
        <f t="shared" si="31"/>
        <v>33000</v>
      </c>
      <c r="N208" s="21">
        <f t="shared" si="25"/>
        <v>330000</v>
      </c>
      <c r="O208" s="21">
        <f>M208*3</f>
        <v>99000</v>
      </c>
      <c r="P208" s="21">
        <f>M208*7*0.8</f>
        <v>184800</v>
      </c>
      <c r="Q208" s="21">
        <f t="shared" si="30"/>
        <v>2640</v>
      </c>
      <c r="R208" s="21">
        <f t="shared" si="26"/>
        <v>10560</v>
      </c>
      <c r="S208" s="13"/>
      <c r="T208" s="13"/>
      <c r="U208" s="13"/>
      <c r="V208" s="40"/>
      <c r="W208" s="13"/>
    </row>
    <row r="209" spans="1:23" ht="18.75" customHeight="1" x14ac:dyDescent="0.35">
      <c r="A209" s="14">
        <v>209</v>
      </c>
      <c r="B209" s="51" t="s">
        <v>517</v>
      </c>
      <c r="C209" s="35" t="s">
        <v>631</v>
      </c>
      <c r="D209" s="35" t="s">
        <v>632</v>
      </c>
      <c r="E209" s="35" t="s">
        <v>57</v>
      </c>
      <c r="F209" s="35" t="s">
        <v>633</v>
      </c>
      <c r="G209" s="35" t="s">
        <v>23</v>
      </c>
      <c r="H209" s="17">
        <v>28</v>
      </c>
      <c r="I209" s="108" t="s">
        <v>1305</v>
      </c>
      <c r="J209" s="35" t="s">
        <v>24</v>
      </c>
      <c r="K209" s="35" t="s">
        <v>51</v>
      </c>
      <c r="L209" s="42">
        <v>8</v>
      </c>
      <c r="M209" s="21">
        <f t="shared" si="31"/>
        <v>70000</v>
      </c>
      <c r="N209" s="21">
        <f t="shared" si="25"/>
        <v>560000</v>
      </c>
      <c r="O209" s="21">
        <f>M209*2</f>
        <v>140000</v>
      </c>
      <c r="P209" s="21">
        <f>M209*6*0.8</f>
        <v>336000</v>
      </c>
      <c r="Q209" s="21">
        <f t="shared" si="30"/>
        <v>4800</v>
      </c>
      <c r="R209" s="21">
        <f t="shared" si="26"/>
        <v>19200</v>
      </c>
      <c r="S209" s="13"/>
      <c r="T209" s="13"/>
      <c r="U209" s="13"/>
      <c r="V209" s="40"/>
      <c r="W209" s="13"/>
    </row>
    <row r="210" spans="1:23" ht="18.75" customHeight="1" x14ac:dyDescent="0.35">
      <c r="A210" s="14">
        <v>210</v>
      </c>
      <c r="B210" s="51" t="s">
        <v>517</v>
      </c>
      <c r="C210" s="35" t="s">
        <v>634</v>
      </c>
      <c r="D210" s="35" t="s">
        <v>239</v>
      </c>
      <c r="E210" s="35" t="s">
        <v>546</v>
      </c>
      <c r="F210" s="35" t="s">
        <v>628</v>
      </c>
      <c r="G210" s="35" t="s">
        <v>629</v>
      </c>
      <c r="H210" s="31">
        <v>0.25</v>
      </c>
      <c r="I210" s="108" t="s">
        <v>1304</v>
      </c>
      <c r="J210" s="35" t="s">
        <v>24</v>
      </c>
      <c r="K210" s="35" t="s">
        <v>35</v>
      </c>
      <c r="L210" s="42">
        <v>5</v>
      </c>
      <c r="M210" s="21">
        <f t="shared" si="31"/>
        <v>625</v>
      </c>
      <c r="N210" s="21">
        <f t="shared" si="25"/>
        <v>3125</v>
      </c>
      <c r="O210" s="21">
        <f>M210*L210</f>
        <v>3125</v>
      </c>
      <c r="P210" s="21">
        <v>0</v>
      </c>
      <c r="Q210" s="21">
        <f t="shared" si="30"/>
        <v>0</v>
      </c>
      <c r="R210" s="21">
        <f t="shared" si="26"/>
        <v>0</v>
      </c>
      <c r="S210" s="13"/>
      <c r="T210" s="13"/>
      <c r="U210" s="13"/>
      <c r="V210" s="40"/>
      <c r="W210" s="13"/>
    </row>
    <row r="211" spans="1:23" ht="18.75" customHeight="1" x14ac:dyDescent="0.35">
      <c r="A211" s="14">
        <v>211</v>
      </c>
      <c r="B211" s="51" t="s">
        <v>517</v>
      </c>
      <c r="C211" s="35" t="s">
        <v>635</v>
      </c>
      <c r="D211" s="35" t="s">
        <v>239</v>
      </c>
      <c r="E211" s="35" t="s">
        <v>636</v>
      </c>
      <c r="F211" s="35" t="s">
        <v>637</v>
      </c>
      <c r="G211" s="35" t="s">
        <v>629</v>
      </c>
      <c r="H211" s="17">
        <v>68</v>
      </c>
      <c r="I211" s="108" t="s">
        <v>1303</v>
      </c>
      <c r="J211" s="35" t="s">
        <v>24</v>
      </c>
      <c r="K211" s="35" t="s">
        <v>35</v>
      </c>
      <c r="L211" s="42">
        <v>5</v>
      </c>
      <c r="M211" s="21">
        <f t="shared" si="31"/>
        <v>170000</v>
      </c>
      <c r="N211" s="21">
        <f t="shared" si="25"/>
        <v>850000</v>
      </c>
      <c r="O211" s="21">
        <f>M211*L211</f>
        <v>850000</v>
      </c>
      <c r="P211" s="21">
        <v>0</v>
      </c>
      <c r="Q211" s="21">
        <f t="shared" si="30"/>
        <v>0</v>
      </c>
      <c r="R211" s="21">
        <f t="shared" si="26"/>
        <v>0</v>
      </c>
      <c r="S211" s="13"/>
      <c r="T211" s="13"/>
      <c r="U211" s="13"/>
      <c r="V211" s="40"/>
      <c r="W211" s="13"/>
    </row>
    <row r="212" spans="1:23" ht="18.75" customHeight="1" x14ac:dyDescent="0.35">
      <c r="A212" s="14">
        <v>212</v>
      </c>
      <c r="B212" s="51" t="s">
        <v>517</v>
      </c>
      <c r="C212" s="35" t="s">
        <v>635</v>
      </c>
      <c r="D212" s="35" t="s">
        <v>239</v>
      </c>
      <c r="E212" s="35" t="s">
        <v>546</v>
      </c>
      <c r="F212" s="35" t="s">
        <v>638</v>
      </c>
      <c r="G212" s="35" t="s">
        <v>23</v>
      </c>
      <c r="H212" s="17">
        <v>2</v>
      </c>
      <c r="I212" s="108" t="s">
        <v>1302</v>
      </c>
      <c r="J212" s="35" t="s">
        <v>24</v>
      </c>
      <c r="K212" s="35" t="s">
        <v>35</v>
      </c>
      <c r="L212" s="42">
        <v>4</v>
      </c>
      <c r="M212" s="21">
        <f t="shared" si="31"/>
        <v>5000</v>
      </c>
      <c r="N212" s="21">
        <f t="shared" si="25"/>
        <v>20000</v>
      </c>
      <c r="O212" s="21">
        <f>M212*1</f>
        <v>5000</v>
      </c>
      <c r="P212" s="21">
        <f>M212*3*0.8</f>
        <v>12000</v>
      </c>
      <c r="Q212" s="21">
        <f t="shared" si="30"/>
        <v>171.42857142857142</v>
      </c>
      <c r="R212" s="21">
        <f t="shared" si="26"/>
        <v>685.71428571428567</v>
      </c>
      <c r="S212" s="13"/>
      <c r="T212" s="13"/>
      <c r="U212" s="13"/>
      <c r="V212" s="40"/>
      <c r="W212" s="13"/>
    </row>
    <row r="213" spans="1:23" ht="18.75" customHeight="1" x14ac:dyDescent="0.35">
      <c r="A213" s="14">
        <v>213</v>
      </c>
      <c r="B213" s="51" t="s">
        <v>517</v>
      </c>
      <c r="C213" s="35" t="s">
        <v>639</v>
      </c>
      <c r="D213" s="35" t="s">
        <v>239</v>
      </c>
      <c r="E213" s="35" t="s">
        <v>640</v>
      </c>
      <c r="F213" s="35" t="s">
        <v>641</v>
      </c>
      <c r="G213" s="35" t="s">
        <v>113</v>
      </c>
      <c r="H213" s="31">
        <v>0.5</v>
      </c>
      <c r="I213" s="108" t="s">
        <v>1301</v>
      </c>
      <c r="J213" s="35" t="s">
        <v>24</v>
      </c>
      <c r="K213" s="35" t="s">
        <v>35</v>
      </c>
      <c r="L213" s="42">
        <v>4</v>
      </c>
      <c r="M213" s="21">
        <f t="shared" si="31"/>
        <v>1250</v>
      </c>
      <c r="N213" s="21">
        <f t="shared" si="25"/>
        <v>5000</v>
      </c>
      <c r="O213" s="21">
        <f>M213*L213</f>
        <v>5000</v>
      </c>
      <c r="P213" s="21">
        <v>0</v>
      </c>
      <c r="Q213" s="21">
        <f t="shared" si="30"/>
        <v>0</v>
      </c>
      <c r="R213" s="21">
        <f t="shared" si="26"/>
        <v>0</v>
      </c>
      <c r="S213" s="13"/>
      <c r="T213" s="13"/>
      <c r="U213" s="13"/>
      <c r="V213" s="40"/>
      <c r="W213" s="13"/>
    </row>
    <row r="214" spans="1:23" ht="18.75" customHeight="1" x14ac:dyDescent="0.35">
      <c r="A214" s="14">
        <v>214</v>
      </c>
      <c r="B214" s="52" t="s">
        <v>642</v>
      </c>
      <c r="C214" s="52" t="s">
        <v>643</v>
      </c>
      <c r="D214" s="52" t="s">
        <v>644</v>
      </c>
      <c r="E214" s="52" t="s">
        <v>645</v>
      </c>
      <c r="F214" s="52" t="s">
        <v>646</v>
      </c>
      <c r="G214" s="52" t="s">
        <v>23</v>
      </c>
      <c r="H214" s="53">
        <v>36.9</v>
      </c>
      <c r="I214" s="52" t="s">
        <v>647</v>
      </c>
      <c r="J214" s="52" t="s">
        <v>30</v>
      </c>
      <c r="K214" s="52" t="s">
        <v>51</v>
      </c>
      <c r="L214" s="42">
        <v>10</v>
      </c>
      <c r="M214" s="54">
        <f t="shared" si="31"/>
        <v>92250</v>
      </c>
      <c r="N214" s="54">
        <f t="shared" si="25"/>
        <v>922500</v>
      </c>
      <c r="O214" s="54">
        <f>M214*2</f>
        <v>184500</v>
      </c>
      <c r="P214" s="54">
        <f>M214*8*0.8</f>
        <v>590400</v>
      </c>
      <c r="Q214" s="54">
        <f t="shared" si="30"/>
        <v>8434.2857142857138</v>
      </c>
      <c r="R214" s="54">
        <f t="shared" si="26"/>
        <v>33737.142857142855</v>
      </c>
      <c r="S214" s="13"/>
      <c r="T214" s="13"/>
      <c r="U214" s="13"/>
      <c r="V214" s="40"/>
      <c r="W214" s="13"/>
    </row>
    <row r="215" spans="1:23" ht="18.75" customHeight="1" x14ac:dyDescent="0.35">
      <c r="A215" s="14">
        <v>215</v>
      </c>
      <c r="B215" s="52" t="s">
        <v>642</v>
      </c>
      <c r="C215" s="52" t="s">
        <v>648</v>
      </c>
      <c r="D215" s="52" t="s">
        <v>649</v>
      </c>
      <c r="E215" s="35" t="s">
        <v>650</v>
      </c>
      <c r="F215" s="52" t="s">
        <v>651</v>
      </c>
      <c r="G215" s="52" t="s">
        <v>23</v>
      </c>
      <c r="H215" s="17">
        <v>2</v>
      </c>
      <c r="I215" s="52" t="s">
        <v>652</v>
      </c>
      <c r="J215" s="52" t="s">
        <v>30</v>
      </c>
      <c r="K215" s="52" t="s">
        <v>51</v>
      </c>
      <c r="L215" s="42">
        <v>12</v>
      </c>
      <c r="M215" s="54">
        <f t="shared" si="31"/>
        <v>5000</v>
      </c>
      <c r="N215" s="54">
        <f t="shared" si="25"/>
        <v>60000</v>
      </c>
      <c r="O215" s="54">
        <f>M215*5</f>
        <v>25000</v>
      </c>
      <c r="P215" s="54">
        <v>0</v>
      </c>
      <c r="Q215" s="54">
        <f t="shared" si="30"/>
        <v>0</v>
      </c>
      <c r="R215" s="54">
        <f t="shared" si="26"/>
        <v>0</v>
      </c>
      <c r="S215" s="13"/>
      <c r="T215" s="13"/>
      <c r="U215" s="13"/>
      <c r="V215" s="40"/>
      <c r="W215" s="13"/>
    </row>
    <row r="216" spans="1:23" ht="18.75" customHeight="1" x14ac:dyDescent="0.35">
      <c r="A216" s="14">
        <v>216</v>
      </c>
      <c r="B216" s="52" t="s">
        <v>642</v>
      </c>
      <c r="C216" s="52" t="s">
        <v>653</v>
      </c>
      <c r="D216" s="52" t="s">
        <v>654</v>
      </c>
      <c r="E216" s="52" t="s">
        <v>645</v>
      </c>
      <c r="F216" s="52" t="s">
        <v>651</v>
      </c>
      <c r="G216" s="52" t="s">
        <v>23</v>
      </c>
      <c r="H216" s="53">
        <v>5.8209999999999997</v>
      </c>
      <c r="I216" s="52" t="s">
        <v>655</v>
      </c>
      <c r="J216" s="52" t="s">
        <v>30</v>
      </c>
      <c r="K216" s="52" t="s">
        <v>51</v>
      </c>
      <c r="L216" s="42">
        <v>13</v>
      </c>
      <c r="M216" s="54">
        <f t="shared" si="31"/>
        <v>14552.5</v>
      </c>
      <c r="N216" s="54">
        <f t="shared" si="25"/>
        <v>189182.5</v>
      </c>
      <c r="O216" s="54">
        <f>M216*3</f>
        <v>43657.5</v>
      </c>
      <c r="P216" s="54">
        <f>M216*10*0.8</f>
        <v>116420</v>
      </c>
      <c r="Q216" s="54">
        <f t="shared" si="30"/>
        <v>1663.1428571428571</v>
      </c>
      <c r="R216" s="54">
        <f t="shared" si="26"/>
        <v>6652.5714285714284</v>
      </c>
      <c r="S216" s="13"/>
      <c r="T216" s="13"/>
      <c r="U216" s="13"/>
      <c r="V216" s="40"/>
      <c r="W216" s="13"/>
    </row>
    <row r="217" spans="1:23" ht="18.75" customHeight="1" x14ac:dyDescent="0.35">
      <c r="A217" s="14">
        <v>217</v>
      </c>
      <c r="B217" s="52" t="s">
        <v>642</v>
      </c>
      <c r="C217" s="52" t="s">
        <v>656</v>
      </c>
      <c r="D217" s="52" t="s">
        <v>657</v>
      </c>
      <c r="E217" s="52" t="s">
        <v>589</v>
      </c>
      <c r="F217" s="52" t="s">
        <v>651</v>
      </c>
      <c r="G217" s="52" t="s">
        <v>23</v>
      </c>
      <c r="H217" s="31">
        <v>1.89</v>
      </c>
      <c r="I217" s="52" t="s">
        <v>658</v>
      </c>
      <c r="J217" s="52" t="s">
        <v>30</v>
      </c>
      <c r="K217" s="52" t="s">
        <v>35</v>
      </c>
      <c r="L217" s="42">
        <v>10</v>
      </c>
      <c r="M217" s="21">
        <f t="shared" si="31"/>
        <v>4725</v>
      </c>
      <c r="N217" s="21">
        <f t="shared" si="25"/>
        <v>47250</v>
      </c>
      <c r="O217" s="21">
        <f>M217*2</f>
        <v>9450</v>
      </c>
      <c r="P217" s="21">
        <f>M217*8*0.8</f>
        <v>30240</v>
      </c>
      <c r="Q217" s="21">
        <f t="shared" si="30"/>
        <v>432</v>
      </c>
      <c r="R217" s="21">
        <f t="shared" si="26"/>
        <v>1728</v>
      </c>
      <c r="S217" s="13"/>
      <c r="T217" s="13"/>
      <c r="U217" s="13"/>
      <c r="V217" s="40"/>
      <c r="W217" s="13"/>
    </row>
    <row r="218" spans="1:23" ht="18.75" customHeight="1" x14ac:dyDescent="0.35">
      <c r="A218" s="14">
        <v>218</v>
      </c>
      <c r="B218" s="52" t="s">
        <v>642</v>
      </c>
      <c r="C218" s="52" t="s">
        <v>659</v>
      </c>
      <c r="D218" s="52" t="s">
        <v>660</v>
      </c>
      <c r="E218" s="52" t="s">
        <v>645</v>
      </c>
      <c r="F218" s="52" t="s">
        <v>651</v>
      </c>
      <c r="G218" s="52" t="s">
        <v>23</v>
      </c>
      <c r="H218" s="53">
        <v>3.25</v>
      </c>
      <c r="I218" s="52" t="s">
        <v>661</v>
      </c>
      <c r="J218" s="52" t="s">
        <v>24</v>
      </c>
      <c r="K218" s="52" t="s">
        <v>662</v>
      </c>
      <c r="L218" s="42">
        <v>13</v>
      </c>
      <c r="M218" s="54">
        <f t="shared" si="31"/>
        <v>8125</v>
      </c>
      <c r="N218" s="54">
        <f t="shared" si="25"/>
        <v>105625</v>
      </c>
      <c r="O218" s="54">
        <f>M218*3</f>
        <v>24375</v>
      </c>
      <c r="P218" s="54">
        <f>M218*10*0.8</f>
        <v>65000</v>
      </c>
      <c r="Q218" s="54">
        <f t="shared" si="30"/>
        <v>928.57142857142856</v>
      </c>
      <c r="R218" s="54">
        <f t="shared" si="26"/>
        <v>3714.2857142857142</v>
      </c>
      <c r="S218" s="13"/>
      <c r="T218" s="13"/>
      <c r="U218" s="13"/>
      <c r="V218" s="40"/>
      <c r="W218" s="13"/>
    </row>
    <row r="219" spans="1:23" ht="18.75" customHeight="1" x14ac:dyDescent="0.35">
      <c r="A219" s="14">
        <v>219</v>
      </c>
      <c r="B219" s="55" t="s">
        <v>642</v>
      </c>
      <c r="C219" s="55" t="s">
        <v>663</v>
      </c>
      <c r="D219" s="55" t="s">
        <v>664</v>
      </c>
      <c r="E219" s="52" t="s">
        <v>665</v>
      </c>
      <c r="F219" s="52" t="s">
        <v>651</v>
      </c>
      <c r="G219" s="52" t="s">
        <v>23</v>
      </c>
      <c r="H219" s="53">
        <v>0.92</v>
      </c>
      <c r="I219" s="52" t="s">
        <v>666</v>
      </c>
      <c r="J219" s="52" t="s">
        <v>24</v>
      </c>
      <c r="K219" s="52" t="s">
        <v>662</v>
      </c>
      <c r="L219" s="42">
        <v>9</v>
      </c>
      <c r="M219" s="54">
        <f t="shared" si="31"/>
        <v>2300</v>
      </c>
      <c r="N219" s="54">
        <f t="shared" si="25"/>
        <v>20700</v>
      </c>
      <c r="O219" s="54">
        <f>M219*2</f>
        <v>4600</v>
      </c>
      <c r="P219" s="54">
        <f>M219*7*0.8</f>
        <v>12880</v>
      </c>
      <c r="Q219" s="54">
        <f t="shared" si="30"/>
        <v>184</v>
      </c>
      <c r="R219" s="54">
        <f t="shared" si="26"/>
        <v>736</v>
      </c>
      <c r="S219" s="13"/>
      <c r="T219" s="13"/>
      <c r="U219" s="13"/>
      <c r="V219" s="40"/>
      <c r="W219" s="13"/>
    </row>
    <row r="220" spans="1:23" ht="18.75" customHeight="1" x14ac:dyDescent="0.35">
      <c r="A220" s="14">
        <v>220</v>
      </c>
      <c r="B220" s="52" t="s">
        <v>642</v>
      </c>
      <c r="C220" s="52" t="s">
        <v>667</v>
      </c>
      <c r="D220" s="52" t="s">
        <v>668</v>
      </c>
      <c r="E220" s="52" t="s">
        <v>669</v>
      </c>
      <c r="F220" s="52" t="s">
        <v>670</v>
      </c>
      <c r="G220" s="52" t="s">
        <v>23</v>
      </c>
      <c r="H220" s="53">
        <v>66.7</v>
      </c>
      <c r="I220" s="52" t="s">
        <v>671</v>
      </c>
      <c r="J220" s="52" t="s">
        <v>24</v>
      </c>
      <c r="K220" s="52" t="s">
        <v>662</v>
      </c>
      <c r="L220" s="42">
        <v>7</v>
      </c>
      <c r="M220" s="54">
        <f t="shared" si="31"/>
        <v>166750</v>
      </c>
      <c r="N220" s="54">
        <f t="shared" si="25"/>
        <v>1167250</v>
      </c>
      <c r="O220" s="54">
        <f>M220*2</f>
        <v>333500</v>
      </c>
      <c r="P220" s="54">
        <f>M220*5*0.8</f>
        <v>667000</v>
      </c>
      <c r="Q220" s="54">
        <f t="shared" si="30"/>
        <v>9528.5714285714294</v>
      </c>
      <c r="R220" s="54">
        <f t="shared" si="26"/>
        <v>38114.285714285717</v>
      </c>
      <c r="S220" s="13"/>
      <c r="T220" s="13"/>
      <c r="U220" s="13"/>
      <c r="V220" s="40"/>
      <c r="W220" s="13"/>
    </row>
    <row r="221" spans="1:23" ht="18.75" customHeight="1" x14ac:dyDescent="0.35">
      <c r="A221" s="14">
        <v>221</v>
      </c>
      <c r="B221" s="52" t="s">
        <v>642</v>
      </c>
      <c r="C221" s="52" t="s">
        <v>672</v>
      </c>
      <c r="D221" s="52" t="s">
        <v>660</v>
      </c>
      <c r="E221" s="52" t="s">
        <v>673</v>
      </c>
      <c r="F221" s="52" t="s">
        <v>674</v>
      </c>
      <c r="G221" s="52" t="s">
        <v>251</v>
      </c>
      <c r="H221" s="53">
        <v>5.8</v>
      </c>
      <c r="I221" s="52" t="s">
        <v>675</v>
      </c>
      <c r="J221" s="52" t="s">
        <v>676</v>
      </c>
      <c r="K221" s="52" t="s">
        <v>35</v>
      </c>
      <c r="L221" s="42">
        <v>5</v>
      </c>
      <c r="M221" s="54">
        <f t="shared" si="31"/>
        <v>14500</v>
      </c>
      <c r="N221" s="54">
        <f t="shared" si="25"/>
        <v>72500</v>
      </c>
      <c r="O221" s="54">
        <f>M221*5</f>
        <v>72500</v>
      </c>
      <c r="P221" s="54">
        <v>0</v>
      </c>
      <c r="Q221" s="54">
        <f t="shared" si="30"/>
        <v>0</v>
      </c>
      <c r="R221" s="54">
        <f t="shared" si="26"/>
        <v>0</v>
      </c>
      <c r="S221" s="13"/>
      <c r="T221" s="13"/>
      <c r="U221" s="13"/>
      <c r="V221" s="40"/>
      <c r="W221" s="13"/>
    </row>
    <row r="222" spans="1:23" ht="60.75" customHeight="1" x14ac:dyDescent="0.35">
      <c r="A222" s="14">
        <v>222</v>
      </c>
      <c r="B222" s="52" t="s">
        <v>642</v>
      </c>
      <c r="C222" s="52" t="s">
        <v>677</v>
      </c>
      <c r="D222" s="52" t="s">
        <v>660</v>
      </c>
      <c r="E222" s="35" t="s">
        <v>673</v>
      </c>
      <c r="F222" s="52" t="s">
        <v>678</v>
      </c>
      <c r="G222" s="52" t="s">
        <v>679</v>
      </c>
      <c r="H222" s="53">
        <v>12.18</v>
      </c>
      <c r="I222" s="52" t="s">
        <v>680</v>
      </c>
      <c r="J222" s="52" t="s">
        <v>681</v>
      </c>
      <c r="K222" s="52" t="s">
        <v>35</v>
      </c>
      <c r="L222" s="42">
        <v>5</v>
      </c>
      <c r="M222" s="54">
        <f t="shared" si="31"/>
        <v>30450</v>
      </c>
      <c r="N222" s="54">
        <f t="shared" si="25"/>
        <v>152250</v>
      </c>
      <c r="O222" s="54">
        <f>M222*5</f>
        <v>152250</v>
      </c>
      <c r="P222" s="54">
        <v>0</v>
      </c>
      <c r="Q222" s="54">
        <f t="shared" si="30"/>
        <v>0</v>
      </c>
      <c r="R222" s="54">
        <f t="shared" si="26"/>
        <v>0</v>
      </c>
      <c r="S222" s="13"/>
      <c r="T222" s="13"/>
      <c r="U222" s="13"/>
      <c r="V222" s="40"/>
      <c r="W222" s="13"/>
    </row>
    <row r="223" spans="1:23" ht="18.75" customHeight="1" x14ac:dyDescent="0.35">
      <c r="A223" s="14">
        <v>223</v>
      </c>
      <c r="B223" s="52" t="s">
        <v>642</v>
      </c>
      <c r="C223" s="52" t="s">
        <v>682</v>
      </c>
      <c r="D223" s="52" t="s">
        <v>683</v>
      </c>
      <c r="E223" s="52" t="s">
        <v>645</v>
      </c>
      <c r="F223" s="52" t="s">
        <v>670</v>
      </c>
      <c r="G223" s="52" t="s">
        <v>23</v>
      </c>
      <c r="H223" s="53">
        <v>9.73</v>
      </c>
      <c r="I223" s="52" t="s">
        <v>684</v>
      </c>
      <c r="J223" s="52" t="s">
        <v>30</v>
      </c>
      <c r="K223" s="52" t="s">
        <v>51</v>
      </c>
      <c r="L223" s="42">
        <v>13</v>
      </c>
      <c r="M223" s="54">
        <f t="shared" si="31"/>
        <v>24325</v>
      </c>
      <c r="N223" s="54">
        <f t="shared" si="25"/>
        <v>316225</v>
      </c>
      <c r="O223" s="54">
        <f>M223*3</f>
        <v>72975</v>
      </c>
      <c r="P223" s="54">
        <f>M223*10*0.8</f>
        <v>194600</v>
      </c>
      <c r="Q223" s="54">
        <f t="shared" si="30"/>
        <v>2780</v>
      </c>
      <c r="R223" s="54">
        <f t="shared" si="26"/>
        <v>11120</v>
      </c>
      <c r="S223" s="13"/>
      <c r="T223" s="13"/>
      <c r="U223" s="13"/>
      <c r="V223" s="40"/>
      <c r="W223" s="13"/>
    </row>
    <row r="224" spans="1:23" ht="115.5" customHeight="1" x14ac:dyDescent="0.35">
      <c r="A224" s="14">
        <v>224</v>
      </c>
      <c r="B224" s="52" t="s">
        <v>642</v>
      </c>
      <c r="C224" s="52" t="s">
        <v>685</v>
      </c>
      <c r="D224" s="52" t="s">
        <v>686</v>
      </c>
      <c r="E224" s="52" t="s">
        <v>687</v>
      </c>
      <c r="F224" s="52" t="s">
        <v>670</v>
      </c>
      <c r="G224" s="52" t="s">
        <v>23</v>
      </c>
      <c r="H224" s="53">
        <v>2.4</v>
      </c>
      <c r="I224" s="52" t="s">
        <v>688</v>
      </c>
      <c r="J224" s="52" t="s">
        <v>30</v>
      </c>
      <c r="K224" s="52" t="s">
        <v>35</v>
      </c>
      <c r="L224" s="42">
        <v>24</v>
      </c>
      <c r="M224" s="54">
        <f t="shared" si="31"/>
        <v>6000</v>
      </c>
      <c r="N224" s="54">
        <f t="shared" si="25"/>
        <v>144000</v>
      </c>
      <c r="O224" s="54">
        <f>M224*10</f>
        <v>60000</v>
      </c>
      <c r="P224" s="54">
        <f>M224*14*0.8</f>
        <v>67200</v>
      </c>
      <c r="Q224" s="54">
        <f t="shared" si="30"/>
        <v>960</v>
      </c>
      <c r="R224" s="54">
        <f t="shared" si="26"/>
        <v>3840</v>
      </c>
      <c r="S224" s="13"/>
      <c r="T224" s="13"/>
      <c r="U224" s="13"/>
      <c r="V224" s="40"/>
      <c r="W224" s="13"/>
    </row>
    <row r="225" spans="1:23" ht="18.75" customHeight="1" x14ac:dyDescent="0.35">
      <c r="A225" s="14">
        <v>225</v>
      </c>
      <c r="B225" s="52" t="s">
        <v>642</v>
      </c>
      <c r="C225" s="52" t="s">
        <v>689</v>
      </c>
      <c r="D225" s="52" t="s">
        <v>690</v>
      </c>
      <c r="E225" s="35" t="s">
        <v>687</v>
      </c>
      <c r="F225" s="52" t="s">
        <v>691</v>
      </c>
      <c r="G225" s="52" t="s">
        <v>23</v>
      </c>
      <c r="H225" s="31">
        <v>0.28999999999999998</v>
      </c>
      <c r="I225" s="52" t="s">
        <v>692</v>
      </c>
      <c r="J225" s="52" t="s">
        <v>24</v>
      </c>
      <c r="K225" s="52" t="s">
        <v>662</v>
      </c>
      <c r="L225" s="42">
        <v>20</v>
      </c>
      <c r="M225" s="21">
        <f t="shared" si="31"/>
        <v>725</v>
      </c>
      <c r="N225" s="21">
        <f t="shared" si="25"/>
        <v>14500</v>
      </c>
      <c r="O225" s="21">
        <f>M225*6</f>
        <v>4350</v>
      </c>
      <c r="P225" s="21">
        <f>M225*14*0.8</f>
        <v>8120</v>
      </c>
      <c r="Q225" s="21">
        <f t="shared" si="30"/>
        <v>116</v>
      </c>
      <c r="R225" s="21">
        <f t="shared" si="26"/>
        <v>464</v>
      </c>
      <c r="S225" s="13"/>
      <c r="T225" s="13"/>
      <c r="U225" s="13"/>
      <c r="V225" s="40"/>
      <c r="W225" s="13"/>
    </row>
    <row r="226" spans="1:23" ht="18.75" customHeight="1" x14ac:dyDescent="0.35">
      <c r="A226" s="14">
        <v>226</v>
      </c>
      <c r="B226" s="52" t="s">
        <v>642</v>
      </c>
      <c r="C226" s="52" t="s">
        <v>693</v>
      </c>
      <c r="D226" s="52" t="s">
        <v>694</v>
      </c>
      <c r="E226" s="35" t="s">
        <v>650</v>
      </c>
      <c r="F226" s="52" t="s">
        <v>691</v>
      </c>
      <c r="G226" s="52" t="s">
        <v>23</v>
      </c>
      <c r="H226" s="31">
        <v>0.12</v>
      </c>
      <c r="I226" s="52" t="s">
        <v>695</v>
      </c>
      <c r="J226" s="52" t="s">
        <v>30</v>
      </c>
      <c r="K226" s="52" t="s">
        <v>51</v>
      </c>
      <c r="L226" s="42">
        <v>9</v>
      </c>
      <c r="M226" s="54">
        <f t="shared" si="31"/>
        <v>300</v>
      </c>
      <c r="N226" s="54">
        <f t="shared" si="25"/>
        <v>2700</v>
      </c>
      <c r="O226" s="54">
        <f>M226*2</f>
        <v>600</v>
      </c>
      <c r="P226" s="54">
        <f>M226*7*0.8</f>
        <v>1680</v>
      </c>
      <c r="Q226" s="54">
        <f t="shared" si="30"/>
        <v>24</v>
      </c>
      <c r="R226" s="54">
        <f t="shared" si="26"/>
        <v>96</v>
      </c>
      <c r="S226" s="13"/>
      <c r="T226" s="13"/>
      <c r="U226" s="13"/>
      <c r="V226" s="40"/>
      <c r="W226" s="13"/>
    </row>
    <row r="227" spans="1:23" ht="18.75" customHeight="1" x14ac:dyDescent="0.35">
      <c r="A227" s="14">
        <v>228</v>
      </c>
      <c r="B227" s="52" t="s">
        <v>642</v>
      </c>
      <c r="C227" s="52" t="s">
        <v>696</v>
      </c>
      <c r="D227" s="52" t="s">
        <v>697</v>
      </c>
      <c r="E227" s="52" t="s">
        <v>698</v>
      </c>
      <c r="F227" s="52" t="s">
        <v>699</v>
      </c>
      <c r="G227" s="52" t="s">
        <v>23</v>
      </c>
      <c r="H227" s="31">
        <v>1.1000000000000001</v>
      </c>
      <c r="I227" s="52" t="s">
        <v>700</v>
      </c>
      <c r="J227" s="52" t="s">
        <v>30</v>
      </c>
      <c r="K227" s="52" t="s">
        <v>35</v>
      </c>
      <c r="L227" s="42">
        <v>13</v>
      </c>
      <c r="M227" s="21">
        <f t="shared" si="31"/>
        <v>2750</v>
      </c>
      <c r="N227" s="21">
        <f t="shared" si="25"/>
        <v>35750</v>
      </c>
      <c r="O227" s="21">
        <f>M227*3</f>
        <v>8250</v>
      </c>
      <c r="P227" s="21">
        <f>M227*10*0.8</f>
        <v>22000</v>
      </c>
      <c r="Q227" s="21">
        <f t="shared" si="30"/>
        <v>314.28571428571428</v>
      </c>
      <c r="R227" s="21">
        <f t="shared" si="26"/>
        <v>1257.1428571428571</v>
      </c>
      <c r="S227" s="13"/>
      <c r="T227" s="13"/>
      <c r="U227" s="13"/>
      <c r="V227" s="40"/>
      <c r="W227" s="13"/>
    </row>
    <row r="228" spans="1:23" ht="18.75" customHeight="1" x14ac:dyDescent="0.35">
      <c r="A228" s="14">
        <v>231</v>
      </c>
      <c r="B228" s="52" t="s">
        <v>642</v>
      </c>
      <c r="C228" s="52" t="s">
        <v>701</v>
      </c>
      <c r="D228" s="52" t="s">
        <v>702</v>
      </c>
      <c r="E228" s="52" t="s">
        <v>703</v>
      </c>
      <c r="F228" s="52" t="s">
        <v>691</v>
      </c>
      <c r="G228" s="52" t="s">
        <v>23</v>
      </c>
      <c r="H228" s="53">
        <v>6.57</v>
      </c>
      <c r="I228" s="52" t="s">
        <v>704</v>
      </c>
      <c r="J228" s="52" t="s">
        <v>30</v>
      </c>
      <c r="K228" s="52" t="s">
        <v>51</v>
      </c>
      <c r="L228" s="42">
        <v>5</v>
      </c>
      <c r="M228" s="54">
        <f t="shared" si="31"/>
        <v>16425</v>
      </c>
      <c r="N228" s="54">
        <f t="shared" si="25"/>
        <v>82125</v>
      </c>
      <c r="O228" s="54">
        <f>M228*1</f>
        <v>16425</v>
      </c>
      <c r="P228" s="54">
        <f>M228*4*0.8</f>
        <v>52560</v>
      </c>
      <c r="Q228" s="54">
        <f t="shared" si="30"/>
        <v>750.85714285714289</v>
      </c>
      <c r="R228" s="54">
        <f t="shared" si="26"/>
        <v>3003.4285714285716</v>
      </c>
      <c r="S228" s="13"/>
      <c r="T228" s="13"/>
      <c r="U228" s="13"/>
      <c r="V228" s="40"/>
      <c r="W228" s="13"/>
    </row>
    <row r="229" spans="1:23" ht="18.75" customHeight="1" x14ac:dyDescent="0.35">
      <c r="A229" s="14">
        <v>232</v>
      </c>
      <c r="B229" s="52" t="s">
        <v>642</v>
      </c>
      <c r="C229" s="52" t="s">
        <v>705</v>
      </c>
      <c r="D229" s="52" t="s">
        <v>697</v>
      </c>
      <c r="E229" s="52" t="s">
        <v>589</v>
      </c>
      <c r="F229" s="52" t="s">
        <v>691</v>
      </c>
      <c r="G229" s="52" t="s">
        <v>23</v>
      </c>
      <c r="H229" s="53">
        <v>2.06</v>
      </c>
      <c r="I229" s="52" t="s">
        <v>706</v>
      </c>
      <c r="J229" s="52" t="s">
        <v>24</v>
      </c>
      <c r="K229" s="52" t="s">
        <v>662</v>
      </c>
      <c r="L229" s="42">
        <v>10</v>
      </c>
      <c r="M229" s="54">
        <f t="shared" si="31"/>
        <v>5150</v>
      </c>
      <c r="N229" s="54">
        <f t="shared" si="25"/>
        <v>51500</v>
      </c>
      <c r="O229" s="54">
        <f>M229*2</f>
        <v>10300</v>
      </c>
      <c r="P229" s="54">
        <f>M229*8*0.8</f>
        <v>32960</v>
      </c>
      <c r="Q229" s="54">
        <f t="shared" si="30"/>
        <v>470.85714285714283</v>
      </c>
      <c r="R229" s="54">
        <f t="shared" si="26"/>
        <v>1883.4285714285713</v>
      </c>
      <c r="S229" s="13"/>
      <c r="T229" s="13"/>
      <c r="U229" s="13"/>
      <c r="V229" s="40"/>
      <c r="W229" s="13"/>
    </row>
    <row r="230" spans="1:23" ht="18.75" customHeight="1" x14ac:dyDescent="0.35">
      <c r="A230" s="14">
        <v>233</v>
      </c>
      <c r="B230" s="52" t="s">
        <v>642</v>
      </c>
      <c r="C230" s="52" t="s">
        <v>707</v>
      </c>
      <c r="D230" s="52" t="s">
        <v>697</v>
      </c>
      <c r="E230" s="52" t="s">
        <v>665</v>
      </c>
      <c r="F230" s="52" t="s">
        <v>691</v>
      </c>
      <c r="G230" s="52" t="s">
        <v>23</v>
      </c>
      <c r="H230" s="53">
        <v>2.3199999999999998</v>
      </c>
      <c r="I230" s="52" t="s">
        <v>708</v>
      </c>
      <c r="J230" s="52" t="s">
        <v>30</v>
      </c>
      <c r="K230" s="52" t="s">
        <v>35</v>
      </c>
      <c r="L230" s="42">
        <v>9</v>
      </c>
      <c r="M230" s="54">
        <f t="shared" si="31"/>
        <v>5800</v>
      </c>
      <c r="N230" s="54">
        <f t="shared" si="25"/>
        <v>52200</v>
      </c>
      <c r="O230" s="54">
        <f>M230*2</f>
        <v>11600</v>
      </c>
      <c r="P230" s="54">
        <f>M230*7*0.8</f>
        <v>32480</v>
      </c>
      <c r="Q230" s="54">
        <f t="shared" si="30"/>
        <v>464</v>
      </c>
      <c r="R230" s="54">
        <f t="shared" si="26"/>
        <v>1856</v>
      </c>
      <c r="S230" s="13"/>
      <c r="T230" s="13"/>
      <c r="U230" s="13"/>
      <c r="V230" s="40"/>
      <c r="W230" s="13"/>
    </row>
    <row r="231" spans="1:23" ht="18.75" customHeight="1" x14ac:dyDescent="0.35">
      <c r="A231" s="14">
        <v>234</v>
      </c>
      <c r="B231" s="52" t="s">
        <v>642</v>
      </c>
      <c r="C231" s="52" t="s">
        <v>709</v>
      </c>
      <c r="D231" s="52" t="s">
        <v>697</v>
      </c>
      <c r="E231" s="52" t="s">
        <v>589</v>
      </c>
      <c r="F231" s="52" t="s">
        <v>691</v>
      </c>
      <c r="G231" s="35" t="s">
        <v>556</v>
      </c>
      <c r="H231" s="53">
        <v>0.94</v>
      </c>
      <c r="I231" s="52" t="s">
        <v>710</v>
      </c>
      <c r="J231" s="52" t="s">
        <v>24</v>
      </c>
      <c r="K231" s="52" t="s">
        <v>35</v>
      </c>
      <c r="L231" s="42">
        <v>12</v>
      </c>
      <c r="M231" s="21">
        <f t="shared" si="31"/>
        <v>2350</v>
      </c>
      <c r="N231" s="21">
        <f t="shared" si="25"/>
        <v>28200</v>
      </c>
      <c r="O231" s="21">
        <f>M231*L231</f>
        <v>28200</v>
      </c>
      <c r="P231" s="21">
        <v>0</v>
      </c>
      <c r="Q231" s="21">
        <f t="shared" si="30"/>
        <v>0</v>
      </c>
      <c r="R231" s="21">
        <f t="shared" si="26"/>
        <v>0</v>
      </c>
      <c r="S231" s="13"/>
      <c r="T231" s="13"/>
      <c r="U231" s="13"/>
      <c r="V231" s="40"/>
      <c r="W231" s="13"/>
    </row>
    <row r="232" spans="1:23" ht="18.75" customHeight="1" x14ac:dyDescent="0.35">
      <c r="A232" s="14">
        <v>235</v>
      </c>
      <c r="B232" s="52" t="s">
        <v>642</v>
      </c>
      <c r="C232" s="52" t="s">
        <v>711</v>
      </c>
      <c r="D232" s="52" t="s">
        <v>712</v>
      </c>
      <c r="E232" s="35" t="s">
        <v>645</v>
      </c>
      <c r="F232" s="52" t="s">
        <v>691</v>
      </c>
      <c r="G232" s="52" t="s">
        <v>23</v>
      </c>
      <c r="H232" s="17">
        <v>5</v>
      </c>
      <c r="I232" s="52" t="s">
        <v>713</v>
      </c>
      <c r="J232" s="52" t="s">
        <v>30</v>
      </c>
      <c r="K232" s="52" t="s">
        <v>51</v>
      </c>
      <c r="L232" s="42">
        <v>13</v>
      </c>
      <c r="M232" s="21">
        <f t="shared" si="31"/>
        <v>12500</v>
      </c>
      <c r="N232" s="21">
        <f t="shared" si="25"/>
        <v>162500</v>
      </c>
      <c r="O232" s="21">
        <f>M232*3</f>
        <v>37500</v>
      </c>
      <c r="P232" s="21">
        <f>M232*10*0.8</f>
        <v>100000</v>
      </c>
      <c r="Q232" s="21">
        <f t="shared" si="30"/>
        <v>1428.5714285714287</v>
      </c>
      <c r="R232" s="21">
        <f t="shared" si="26"/>
        <v>5714.2857142857147</v>
      </c>
      <c r="S232" s="13"/>
      <c r="T232" s="13"/>
      <c r="U232" s="13"/>
      <c r="V232" s="40"/>
      <c r="W232" s="13"/>
    </row>
    <row r="233" spans="1:23" ht="18.75" customHeight="1" x14ac:dyDescent="0.35">
      <c r="A233" s="14">
        <v>236</v>
      </c>
      <c r="B233" s="52" t="s">
        <v>642</v>
      </c>
      <c r="C233" s="52" t="s">
        <v>714</v>
      </c>
      <c r="D233" s="52" t="s">
        <v>715</v>
      </c>
      <c r="E233" s="52" t="s">
        <v>645</v>
      </c>
      <c r="F233" s="52" t="s">
        <v>691</v>
      </c>
      <c r="G233" s="52" t="s">
        <v>23</v>
      </c>
      <c r="H233" s="53">
        <v>50.72</v>
      </c>
      <c r="I233" s="52" t="s">
        <v>716</v>
      </c>
      <c r="J233" s="52" t="s">
        <v>30</v>
      </c>
      <c r="K233" s="52" t="s">
        <v>51</v>
      </c>
      <c r="L233" s="42">
        <v>13</v>
      </c>
      <c r="M233" s="54">
        <f t="shared" si="31"/>
        <v>126800</v>
      </c>
      <c r="N233" s="54">
        <f t="shared" si="25"/>
        <v>1648400</v>
      </c>
      <c r="O233" s="54">
        <f>M233*3</f>
        <v>380400</v>
      </c>
      <c r="P233" s="54">
        <f>M233*10*0.8</f>
        <v>1014400</v>
      </c>
      <c r="Q233" s="54">
        <f t="shared" si="30"/>
        <v>14491.428571428571</v>
      </c>
      <c r="R233" s="54">
        <f t="shared" si="26"/>
        <v>57965.714285714283</v>
      </c>
      <c r="S233" s="13"/>
      <c r="T233" s="13"/>
      <c r="U233" s="13"/>
      <c r="V233" s="40"/>
      <c r="W233" s="13"/>
    </row>
    <row r="234" spans="1:23" ht="18.75" customHeight="1" x14ac:dyDescent="0.35">
      <c r="A234" s="14">
        <v>237</v>
      </c>
      <c r="B234" s="52" t="s">
        <v>642</v>
      </c>
      <c r="C234" s="52" t="s">
        <v>717</v>
      </c>
      <c r="D234" s="52" t="s">
        <v>718</v>
      </c>
      <c r="E234" s="52" t="s">
        <v>645</v>
      </c>
      <c r="F234" s="52" t="s">
        <v>719</v>
      </c>
      <c r="G234" s="52" t="s">
        <v>23</v>
      </c>
      <c r="H234" s="53">
        <v>10.199999999999999</v>
      </c>
      <c r="I234" s="52" t="s">
        <v>720</v>
      </c>
      <c r="J234" s="52" t="s">
        <v>30</v>
      </c>
      <c r="K234" s="52" t="s">
        <v>51</v>
      </c>
      <c r="L234" s="42">
        <v>13</v>
      </c>
      <c r="M234" s="54">
        <f t="shared" si="31"/>
        <v>25500</v>
      </c>
      <c r="N234" s="54">
        <f t="shared" si="25"/>
        <v>331500</v>
      </c>
      <c r="O234" s="54">
        <f>M234*3</f>
        <v>76500</v>
      </c>
      <c r="P234" s="54">
        <f>M234*10*0.8</f>
        <v>204000</v>
      </c>
      <c r="Q234" s="54">
        <f t="shared" si="30"/>
        <v>2914.2857142857142</v>
      </c>
      <c r="R234" s="54">
        <f t="shared" si="26"/>
        <v>11657.142857142857</v>
      </c>
      <c r="S234" s="13"/>
      <c r="T234" s="13"/>
      <c r="U234" s="13"/>
      <c r="V234" s="40"/>
      <c r="W234" s="13"/>
    </row>
    <row r="235" spans="1:23" ht="18.75" customHeight="1" x14ac:dyDescent="0.35">
      <c r="A235" s="14">
        <v>238</v>
      </c>
      <c r="B235" s="52" t="s">
        <v>642</v>
      </c>
      <c r="C235" s="52" t="s">
        <v>721</v>
      </c>
      <c r="D235" s="52" t="s">
        <v>722</v>
      </c>
      <c r="E235" s="52" t="s">
        <v>650</v>
      </c>
      <c r="F235" s="52" t="s">
        <v>691</v>
      </c>
      <c r="G235" s="52" t="s">
        <v>23</v>
      </c>
      <c r="H235" s="53">
        <v>3.8</v>
      </c>
      <c r="I235" s="52" t="s">
        <v>723</v>
      </c>
      <c r="J235" s="52" t="s">
        <v>30</v>
      </c>
      <c r="K235" s="52" t="s">
        <v>51</v>
      </c>
      <c r="L235" s="42">
        <v>10</v>
      </c>
      <c r="M235" s="54">
        <f t="shared" si="31"/>
        <v>9500</v>
      </c>
      <c r="N235" s="54">
        <f t="shared" si="25"/>
        <v>95000</v>
      </c>
      <c r="O235" s="54">
        <f>M235*2</f>
        <v>19000</v>
      </c>
      <c r="P235" s="54">
        <f>M235*8*0.8</f>
        <v>60800</v>
      </c>
      <c r="Q235" s="54">
        <f t="shared" si="30"/>
        <v>868.57142857142856</v>
      </c>
      <c r="R235" s="54">
        <f t="shared" si="26"/>
        <v>3474.2857142857142</v>
      </c>
      <c r="S235" s="13"/>
      <c r="T235" s="13"/>
      <c r="U235" s="13"/>
      <c r="V235" s="40"/>
      <c r="W235" s="13"/>
    </row>
    <row r="236" spans="1:23" ht="18.75" customHeight="1" x14ac:dyDescent="0.35">
      <c r="A236" s="14">
        <v>239</v>
      </c>
      <c r="B236" s="52" t="s">
        <v>642</v>
      </c>
      <c r="C236" s="52" t="s">
        <v>724</v>
      </c>
      <c r="D236" s="52" t="s">
        <v>725</v>
      </c>
      <c r="E236" s="52" t="s">
        <v>523</v>
      </c>
      <c r="F236" s="52" t="s">
        <v>726</v>
      </c>
      <c r="G236" s="52" t="s">
        <v>23</v>
      </c>
      <c r="H236" s="56">
        <v>6</v>
      </c>
      <c r="I236" s="52" t="s">
        <v>727</v>
      </c>
      <c r="J236" s="52" t="s">
        <v>24</v>
      </c>
      <c r="K236" s="52" t="s">
        <v>35</v>
      </c>
      <c r="L236" s="42">
        <v>13</v>
      </c>
      <c r="M236" s="54">
        <f t="shared" si="31"/>
        <v>15000</v>
      </c>
      <c r="N236" s="54">
        <f t="shared" si="25"/>
        <v>195000</v>
      </c>
      <c r="O236" s="54">
        <f>M236*3</f>
        <v>45000</v>
      </c>
      <c r="P236" s="54">
        <f>M236*10*0.8</f>
        <v>120000</v>
      </c>
      <c r="Q236" s="54">
        <f t="shared" si="30"/>
        <v>1714.2857142857142</v>
      </c>
      <c r="R236" s="54">
        <f t="shared" si="26"/>
        <v>6857.1428571428569</v>
      </c>
      <c r="S236" s="13"/>
      <c r="T236" s="13"/>
      <c r="U236" s="13"/>
      <c r="V236" s="40"/>
      <c r="W236" s="13"/>
    </row>
    <row r="237" spans="1:23" ht="18.75" customHeight="1" x14ac:dyDescent="0.35">
      <c r="A237" s="14">
        <v>240</v>
      </c>
      <c r="B237" s="52" t="s">
        <v>642</v>
      </c>
      <c r="C237" s="52" t="s">
        <v>728</v>
      </c>
      <c r="D237" s="52" t="s">
        <v>729</v>
      </c>
      <c r="E237" s="52" t="s">
        <v>523</v>
      </c>
      <c r="F237" s="52" t="s">
        <v>730</v>
      </c>
      <c r="G237" s="52" t="s">
        <v>113</v>
      </c>
      <c r="H237" s="31">
        <v>0.6</v>
      </c>
      <c r="I237" s="52" t="s">
        <v>731</v>
      </c>
      <c r="J237" s="52" t="s">
        <v>24</v>
      </c>
      <c r="K237" s="52" t="s">
        <v>35</v>
      </c>
      <c r="L237" s="42">
        <v>16</v>
      </c>
      <c r="M237" s="54">
        <f t="shared" si="31"/>
        <v>1500</v>
      </c>
      <c r="N237" s="54">
        <f t="shared" si="25"/>
        <v>24000</v>
      </c>
      <c r="O237" s="54">
        <f>M237*L237</f>
        <v>24000</v>
      </c>
      <c r="P237" s="54">
        <v>0</v>
      </c>
      <c r="Q237" s="54">
        <f t="shared" si="30"/>
        <v>0</v>
      </c>
      <c r="R237" s="54">
        <f t="shared" si="26"/>
        <v>0</v>
      </c>
      <c r="S237" s="13"/>
      <c r="T237" s="13"/>
      <c r="U237" s="13"/>
      <c r="V237" s="40"/>
      <c r="W237" s="13"/>
    </row>
    <row r="238" spans="1:23" ht="18.75" customHeight="1" x14ac:dyDescent="0.35">
      <c r="A238" s="14">
        <v>241</v>
      </c>
      <c r="B238" s="52" t="s">
        <v>642</v>
      </c>
      <c r="C238" s="52" t="s">
        <v>732</v>
      </c>
      <c r="D238" s="52" t="s">
        <v>733</v>
      </c>
      <c r="E238" s="52" t="s">
        <v>523</v>
      </c>
      <c r="F238" s="52" t="s">
        <v>734</v>
      </c>
      <c r="G238" s="52" t="s">
        <v>23</v>
      </c>
      <c r="H238" s="53">
        <v>1.44</v>
      </c>
      <c r="I238" s="52" t="s">
        <v>735</v>
      </c>
      <c r="J238" s="52" t="s">
        <v>24</v>
      </c>
      <c r="K238" s="52" t="s">
        <v>35</v>
      </c>
      <c r="L238" s="42">
        <v>12</v>
      </c>
      <c r="M238" s="54">
        <f t="shared" ref="M238:M273" si="32">H238*10000*0.25</f>
        <v>3600</v>
      </c>
      <c r="N238" s="54">
        <f t="shared" si="25"/>
        <v>43200</v>
      </c>
      <c r="O238" s="54">
        <f>M238*2</f>
        <v>7200</v>
      </c>
      <c r="P238" s="54">
        <f>M238*10*0.8</f>
        <v>28800</v>
      </c>
      <c r="Q238" s="54">
        <f t="shared" si="30"/>
        <v>411.42857142857144</v>
      </c>
      <c r="R238" s="54">
        <f t="shared" si="26"/>
        <v>1645.7142857142858</v>
      </c>
      <c r="S238" s="13"/>
      <c r="T238" s="13"/>
      <c r="U238" s="13"/>
      <c r="V238" s="40"/>
      <c r="W238" s="13"/>
    </row>
    <row r="239" spans="1:23" ht="18.75" customHeight="1" x14ac:dyDescent="0.35">
      <c r="A239" s="14">
        <v>242</v>
      </c>
      <c r="B239" s="52" t="s">
        <v>642</v>
      </c>
      <c r="C239" s="52" t="s">
        <v>728</v>
      </c>
      <c r="D239" s="52" t="s">
        <v>736</v>
      </c>
      <c r="E239" s="52" t="s">
        <v>523</v>
      </c>
      <c r="F239" s="52" t="s">
        <v>737</v>
      </c>
      <c r="G239" s="52" t="s">
        <v>23</v>
      </c>
      <c r="H239" s="53">
        <v>3.71</v>
      </c>
      <c r="I239" s="52" t="s">
        <v>738</v>
      </c>
      <c r="J239" s="52" t="s">
        <v>30</v>
      </c>
      <c r="K239" s="52" t="s">
        <v>51</v>
      </c>
      <c r="L239" s="42">
        <v>12</v>
      </c>
      <c r="M239" s="54">
        <f t="shared" si="32"/>
        <v>9275</v>
      </c>
      <c r="N239" s="54">
        <f t="shared" si="25"/>
        <v>111300</v>
      </c>
      <c r="O239" s="54">
        <f>M239*2</f>
        <v>18550</v>
      </c>
      <c r="P239" s="54">
        <f>M239*10*0.8</f>
        <v>74200</v>
      </c>
      <c r="Q239" s="54">
        <f t="shared" si="30"/>
        <v>1060</v>
      </c>
      <c r="R239" s="54">
        <f t="shared" si="26"/>
        <v>4240</v>
      </c>
      <c r="S239" s="13"/>
      <c r="T239" s="13"/>
      <c r="U239" s="13"/>
      <c r="V239" s="40"/>
      <c r="W239" s="13"/>
    </row>
    <row r="240" spans="1:23" ht="18.75" customHeight="1" x14ac:dyDescent="0.35">
      <c r="A240" s="14">
        <v>245</v>
      </c>
      <c r="B240" s="52" t="s">
        <v>642</v>
      </c>
      <c r="C240" s="52" t="s">
        <v>739</v>
      </c>
      <c r="D240" s="52" t="s">
        <v>740</v>
      </c>
      <c r="E240" s="52" t="s">
        <v>650</v>
      </c>
      <c r="F240" s="52" t="s">
        <v>737</v>
      </c>
      <c r="G240" s="52" t="s">
        <v>23</v>
      </c>
      <c r="H240" s="56">
        <v>16</v>
      </c>
      <c r="I240" s="52" t="s">
        <v>741</v>
      </c>
      <c r="J240" s="52" t="s">
        <v>30</v>
      </c>
      <c r="K240" s="52" t="s">
        <v>51</v>
      </c>
      <c r="L240" s="42">
        <v>12</v>
      </c>
      <c r="M240" s="54">
        <f t="shared" si="32"/>
        <v>40000</v>
      </c>
      <c r="N240" s="54">
        <f t="shared" si="25"/>
        <v>480000</v>
      </c>
      <c r="O240" s="54">
        <f>M240*2</f>
        <v>80000</v>
      </c>
      <c r="P240" s="54">
        <f>M240*10*0.8</f>
        <v>320000</v>
      </c>
      <c r="Q240" s="54">
        <f t="shared" si="30"/>
        <v>4571.4285714285716</v>
      </c>
      <c r="R240" s="54">
        <f t="shared" si="26"/>
        <v>18285.714285714286</v>
      </c>
      <c r="S240" s="13"/>
      <c r="T240" s="13"/>
      <c r="U240" s="13"/>
      <c r="V240" s="40"/>
      <c r="W240" s="13"/>
    </row>
    <row r="241" spans="1:23" ht="87.75" customHeight="1" x14ac:dyDescent="0.35">
      <c r="A241" s="14">
        <v>246</v>
      </c>
      <c r="B241" s="52" t="s">
        <v>642</v>
      </c>
      <c r="C241" s="52" t="s">
        <v>742</v>
      </c>
      <c r="D241" s="52" t="s">
        <v>743</v>
      </c>
      <c r="E241" s="52" t="s">
        <v>610</v>
      </c>
      <c r="F241" s="35" t="s">
        <v>113</v>
      </c>
      <c r="G241" s="35" t="s">
        <v>113</v>
      </c>
      <c r="H241" s="53">
        <v>0.35</v>
      </c>
      <c r="I241" s="52" t="s">
        <v>744</v>
      </c>
      <c r="J241" s="52" t="s">
        <v>24</v>
      </c>
      <c r="K241" s="52" t="s">
        <v>35</v>
      </c>
      <c r="L241" s="42">
        <v>10</v>
      </c>
      <c r="M241" s="21">
        <f t="shared" si="32"/>
        <v>875</v>
      </c>
      <c r="N241" s="21">
        <f t="shared" si="25"/>
        <v>8750</v>
      </c>
      <c r="O241" s="21">
        <f>M241*L241</f>
        <v>8750</v>
      </c>
      <c r="P241" s="21">
        <v>0</v>
      </c>
      <c r="Q241" s="21">
        <f t="shared" si="30"/>
        <v>0</v>
      </c>
      <c r="R241" s="21">
        <f t="shared" si="26"/>
        <v>0</v>
      </c>
      <c r="S241" s="13"/>
      <c r="T241" s="13"/>
      <c r="U241" s="13"/>
      <c r="V241" s="40"/>
      <c r="W241" s="13"/>
    </row>
    <row r="242" spans="1:23" ht="76.5" customHeight="1" x14ac:dyDescent="0.35">
      <c r="A242" s="14">
        <v>249</v>
      </c>
      <c r="B242" s="52" t="s">
        <v>642</v>
      </c>
      <c r="C242" s="52" t="s">
        <v>745</v>
      </c>
      <c r="D242" s="52" t="s">
        <v>746</v>
      </c>
      <c r="E242" s="52" t="s">
        <v>747</v>
      </c>
      <c r="F242" s="52" t="s">
        <v>748</v>
      </c>
      <c r="G242" s="52" t="s">
        <v>23</v>
      </c>
      <c r="H242" s="53">
        <v>2.1</v>
      </c>
      <c r="I242" s="52" t="s">
        <v>749</v>
      </c>
      <c r="J242" s="52" t="s">
        <v>24</v>
      </c>
      <c r="K242" s="52" t="s">
        <v>35</v>
      </c>
      <c r="L242" s="42">
        <v>15</v>
      </c>
      <c r="M242" s="54">
        <f t="shared" si="32"/>
        <v>5250</v>
      </c>
      <c r="N242" s="54">
        <f t="shared" si="25"/>
        <v>78750</v>
      </c>
      <c r="O242" s="54">
        <f>M242*5</f>
        <v>26250</v>
      </c>
      <c r="P242" s="54">
        <f>M242*10*0.8</f>
        <v>42000</v>
      </c>
      <c r="Q242" s="54">
        <f t="shared" si="30"/>
        <v>600</v>
      </c>
      <c r="R242" s="54">
        <f t="shared" si="26"/>
        <v>2400</v>
      </c>
      <c r="S242" s="13"/>
      <c r="T242" s="13"/>
      <c r="U242" s="13"/>
      <c r="V242" s="40"/>
      <c r="W242" s="13"/>
    </row>
    <row r="243" spans="1:23" ht="18.75" customHeight="1" x14ac:dyDescent="0.35">
      <c r="A243" s="14">
        <v>251</v>
      </c>
      <c r="B243" s="52" t="s">
        <v>642</v>
      </c>
      <c r="C243" s="52" t="s">
        <v>750</v>
      </c>
      <c r="D243" s="52" t="s">
        <v>751</v>
      </c>
      <c r="E243" s="52" t="s">
        <v>645</v>
      </c>
      <c r="F243" s="52" t="s">
        <v>748</v>
      </c>
      <c r="G243" s="52" t="s">
        <v>23</v>
      </c>
      <c r="H243" s="53">
        <v>6.5</v>
      </c>
      <c r="I243" s="52" t="s">
        <v>752</v>
      </c>
      <c r="J243" s="52" t="s">
        <v>24</v>
      </c>
      <c r="K243" s="52" t="s">
        <v>662</v>
      </c>
      <c r="L243" s="42">
        <v>13</v>
      </c>
      <c r="M243" s="54">
        <f t="shared" si="32"/>
        <v>16250</v>
      </c>
      <c r="N243" s="54">
        <f t="shared" si="25"/>
        <v>211250</v>
      </c>
      <c r="O243" s="54">
        <f>M243*3</f>
        <v>48750</v>
      </c>
      <c r="P243" s="54">
        <f>M243*10*0.8</f>
        <v>130000</v>
      </c>
      <c r="Q243" s="54">
        <f t="shared" si="30"/>
        <v>1857.1428571428571</v>
      </c>
      <c r="R243" s="54">
        <f t="shared" si="26"/>
        <v>7428.5714285714284</v>
      </c>
      <c r="S243" s="13"/>
      <c r="T243" s="13"/>
      <c r="U243" s="13"/>
      <c r="V243" s="40"/>
      <c r="W243" s="13"/>
    </row>
    <row r="244" spans="1:23" s="1" customFormat="1" ht="18.75" customHeight="1" x14ac:dyDescent="0.35">
      <c r="A244" s="14">
        <v>255</v>
      </c>
      <c r="B244" s="57" t="s">
        <v>753</v>
      </c>
      <c r="C244" s="57" t="s">
        <v>754</v>
      </c>
      <c r="D244" s="57" t="s">
        <v>82</v>
      </c>
      <c r="E244" s="57" t="s">
        <v>755</v>
      </c>
      <c r="F244" s="57" t="s">
        <v>756</v>
      </c>
      <c r="G244" s="57" t="s">
        <v>23</v>
      </c>
      <c r="H244" s="58">
        <v>10.5</v>
      </c>
      <c r="I244" s="107" t="s">
        <v>1300</v>
      </c>
      <c r="J244" s="57" t="s">
        <v>24</v>
      </c>
      <c r="K244" s="57" t="s">
        <v>51</v>
      </c>
      <c r="L244" s="17">
        <v>12</v>
      </c>
      <c r="M244" s="59">
        <f t="shared" si="32"/>
        <v>26250</v>
      </c>
      <c r="N244" s="59">
        <f t="shared" si="25"/>
        <v>315000</v>
      </c>
      <c r="O244" s="59">
        <f>M244*2</f>
        <v>52500</v>
      </c>
      <c r="P244" s="59">
        <f>M244*10*0.8</f>
        <v>210000</v>
      </c>
      <c r="Q244" s="59">
        <f t="shared" si="30"/>
        <v>3000</v>
      </c>
      <c r="R244" s="59">
        <f t="shared" si="26"/>
        <v>12000</v>
      </c>
      <c r="S244" s="13"/>
      <c r="T244" s="13"/>
      <c r="U244" s="13"/>
      <c r="V244" s="13"/>
      <c r="W244" s="13"/>
    </row>
    <row r="245" spans="1:23" s="1" customFormat="1" ht="18.75" customHeight="1" x14ac:dyDescent="0.35">
      <c r="A245" s="14">
        <v>256</v>
      </c>
      <c r="B245" s="57" t="s">
        <v>753</v>
      </c>
      <c r="C245" s="57" t="s">
        <v>757</v>
      </c>
      <c r="D245" s="57" t="s">
        <v>758</v>
      </c>
      <c r="E245" s="57" t="s">
        <v>759</v>
      </c>
      <c r="F245" s="57" t="s">
        <v>760</v>
      </c>
      <c r="G245" s="57" t="s">
        <v>29</v>
      </c>
      <c r="H245" s="58">
        <v>3.8</v>
      </c>
      <c r="I245" s="107" t="s">
        <v>1299</v>
      </c>
      <c r="J245" s="57" t="s">
        <v>24</v>
      </c>
      <c r="K245" s="57" t="s">
        <v>35</v>
      </c>
      <c r="L245" s="17">
        <v>29</v>
      </c>
      <c r="M245" s="59">
        <f t="shared" si="32"/>
        <v>9500</v>
      </c>
      <c r="N245" s="59">
        <f t="shared" si="25"/>
        <v>275500</v>
      </c>
      <c r="O245" s="60">
        <f>M245*L245</f>
        <v>275500</v>
      </c>
      <c r="P245" s="59"/>
      <c r="Q245" s="59">
        <f t="shared" si="30"/>
        <v>0</v>
      </c>
      <c r="R245" s="59">
        <f t="shared" si="26"/>
        <v>0</v>
      </c>
      <c r="S245" s="13"/>
      <c r="T245" s="13"/>
      <c r="U245" s="13"/>
      <c r="V245" s="13"/>
      <c r="W245" s="13"/>
    </row>
    <row r="246" spans="1:23" s="1" customFormat="1" ht="18.75" customHeight="1" x14ac:dyDescent="0.35">
      <c r="A246" s="14">
        <v>257</v>
      </c>
      <c r="B246" s="57" t="s">
        <v>753</v>
      </c>
      <c r="C246" s="57" t="s">
        <v>761</v>
      </c>
      <c r="D246" s="57" t="s">
        <v>762</v>
      </c>
      <c r="E246" s="57" t="s">
        <v>763</v>
      </c>
      <c r="F246" s="57" t="s">
        <v>756</v>
      </c>
      <c r="G246" s="57" t="s">
        <v>23</v>
      </c>
      <c r="H246" s="58">
        <v>9.5</v>
      </c>
      <c r="I246" s="107" t="s">
        <v>1298</v>
      </c>
      <c r="J246" s="57" t="s">
        <v>24</v>
      </c>
      <c r="K246" s="57" t="s">
        <v>51</v>
      </c>
      <c r="L246" s="17">
        <v>16</v>
      </c>
      <c r="M246" s="59">
        <f t="shared" si="32"/>
        <v>23750</v>
      </c>
      <c r="N246" s="59">
        <f t="shared" si="25"/>
        <v>380000</v>
      </c>
      <c r="O246" s="59">
        <f>M246*5</f>
        <v>118750</v>
      </c>
      <c r="P246" s="59">
        <f>M246*11*0.8</f>
        <v>209000</v>
      </c>
      <c r="Q246" s="59">
        <f t="shared" si="30"/>
        <v>2985.7142857142858</v>
      </c>
      <c r="R246" s="59">
        <f t="shared" si="26"/>
        <v>11942.857142857143</v>
      </c>
      <c r="S246" s="13"/>
      <c r="T246" s="13"/>
      <c r="U246" s="13"/>
      <c r="V246" s="13"/>
      <c r="W246" s="13"/>
    </row>
    <row r="247" spans="1:23" s="1" customFormat="1" ht="18.75" customHeight="1" x14ac:dyDescent="0.35">
      <c r="A247" s="14">
        <v>258</v>
      </c>
      <c r="B247" s="57" t="s">
        <v>753</v>
      </c>
      <c r="C247" s="57" t="s">
        <v>764</v>
      </c>
      <c r="D247" s="57" t="s">
        <v>422</v>
      </c>
      <c r="E247" s="57" t="s">
        <v>765</v>
      </c>
      <c r="F247" s="57" t="s">
        <v>766</v>
      </c>
      <c r="G247" s="57" t="s">
        <v>29</v>
      </c>
      <c r="H247" s="58">
        <v>0.71</v>
      </c>
      <c r="I247" s="107" t="s">
        <v>1297</v>
      </c>
      <c r="J247" s="57" t="s">
        <v>24</v>
      </c>
      <c r="K247" s="57" t="s">
        <v>35</v>
      </c>
      <c r="L247" s="17">
        <v>52</v>
      </c>
      <c r="M247" s="59">
        <f t="shared" si="32"/>
        <v>1775</v>
      </c>
      <c r="N247" s="59">
        <f t="shared" si="25"/>
        <v>92300</v>
      </c>
      <c r="O247" s="60">
        <f>M247*L247</f>
        <v>92300</v>
      </c>
      <c r="P247" s="59"/>
      <c r="Q247" s="59">
        <f t="shared" si="30"/>
        <v>0</v>
      </c>
      <c r="R247" s="59">
        <f t="shared" si="26"/>
        <v>0</v>
      </c>
      <c r="S247" s="13"/>
      <c r="T247" s="13"/>
      <c r="U247" s="13"/>
      <c r="V247" s="13"/>
      <c r="W247" s="13"/>
    </row>
    <row r="248" spans="1:23" s="1" customFormat="1" ht="18.75" customHeight="1" x14ac:dyDescent="0.35">
      <c r="A248" s="14">
        <v>259</v>
      </c>
      <c r="B248" s="57" t="s">
        <v>753</v>
      </c>
      <c r="C248" s="57" t="s">
        <v>767</v>
      </c>
      <c r="D248" s="57" t="s">
        <v>436</v>
      </c>
      <c r="E248" s="57" t="s">
        <v>768</v>
      </c>
      <c r="F248" s="57" t="s">
        <v>766</v>
      </c>
      <c r="G248" s="57" t="s">
        <v>29</v>
      </c>
      <c r="H248" s="58">
        <v>1.2</v>
      </c>
      <c r="I248" s="107" t="s">
        <v>1296</v>
      </c>
      <c r="J248" s="57" t="s">
        <v>24</v>
      </c>
      <c r="K248" s="57" t="s">
        <v>35</v>
      </c>
      <c r="L248" s="17">
        <v>58</v>
      </c>
      <c r="M248" s="59">
        <f t="shared" si="32"/>
        <v>3000</v>
      </c>
      <c r="N248" s="59">
        <f t="shared" ref="N248:N311" si="33">M248*L248</f>
        <v>174000</v>
      </c>
      <c r="O248" s="60">
        <f>M248*L248</f>
        <v>174000</v>
      </c>
      <c r="P248" s="59"/>
      <c r="Q248" s="59">
        <f t="shared" si="30"/>
        <v>0</v>
      </c>
      <c r="R248" s="59">
        <f t="shared" si="26"/>
        <v>0</v>
      </c>
      <c r="S248" s="13"/>
      <c r="T248" s="13"/>
      <c r="U248" s="13"/>
      <c r="V248" s="13"/>
      <c r="W248" s="13"/>
    </row>
    <row r="249" spans="1:23" s="1" customFormat="1" ht="18.75" customHeight="1" x14ac:dyDescent="0.35">
      <c r="A249" s="14">
        <v>260</v>
      </c>
      <c r="B249" s="57" t="s">
        <v>753</v>
      </c>
      <c r="C249" s="57" t="s">
        <v>769</v>
      </c>
      <c r="D249" s="57" t="s">
        <v>644</v>
      </c>
      <c r="E249" s="57" t="s">
        <v>33</v>
      </c>
      <c r="F249" s="57" t="s">
        <v>770</v>
      </c>
      <c r="G249" s="57" t="s">
        <v>23</v>
      </c>
      <c r="H249" s="58">
        <v>10.6</v>
      </c>
      <c r="I249" s="107" t="s">
        <v>1295</v>
      </c>
      <c r="J249" s="57" t="s">
        <v>24</v>
      </c>
      <c r="K249" s="57" t="s">
        <v>25</v>
      </c>
      <c r="L249" s="17">
        <v>8</v>
      </c>
      <c r="M249" s="59">
        <f t="shared" si="32"/>
        <v>26500</v>
      </c>
      <c r="N249" s="59">
        <f t="shared" si="33"/>
        <v>212000</v>
      </c>
      <c r="O249" s="59">
        <f>M249*2</f>
        <v>53000</v>
      </c>
      <c r="P249" s="59">
        <f>M249*6*0.8</f>
        <v>127200</v>
      </c>
      <c r="Q249" s="59">
        <f t="shared" si="30"/>
        <v>1817.1428571428571</v>
      </c>
      <c r="R249" s="59">
        <f t="shared" ref="R249:R260" si="34">Q249*4</f>
        <v>7268.5714285714284</v>
      </c>
      <c r="S249" s="13"/>
      <c r="T249" s="13"/>
      <c r="U249" s="13"/>
      <c r="V249" s="13"/>
      <c r="W249" s="13"/>
    </row>
    <row r="250" spans="1:23" s="1" customFormat="1" ht="18.75" customHeight="1" x14ac:dyDescent="0.35">
      <c r="A250" s="14">
        <v>261</v>
      </c>
      <c r="B250" s="57" t="s">
        <v>753</v>
      </c>
      <c r="C250" s="57" t="s">
        <v>771</v>
      </c>
      <c r="D250" s="57" t="s">
        <v>772</v>
      </c>
      <c r="E250" s="57" t="s">
        <v>27</v>
      </c>
      <c r="F250" s="57" t="s">
        <v>773</v>
      </c>
      <c r="G250" s="57" t="s">
        <v>113</v>
      </c>
      <c r="H250" s="58">
        <v>0.45</v>
      </c>
      <c r="I250" s="107" t="s">
        <v>1294</v>
      </c>
      <c r="J250" s="57" t="s">
        <v>24</v>
      </c>
      <c r="K250" s="57" t="s">
        <v>25</v>
      </c>
      <c r="L250" s="17">
        <v>3</v>
      </c>
      <c r="M250" s="59">
        <f t="shared" si="32"/>
        <v>1125</v>
      </c>
      <c r="N250" s="59">
        <f t="shared" si="33"/>
        <v>3375</v>
      </c>
      <c r="O250" s="59">
        <f t="shared" ref="O250:O256" si="35">M250*3</f>
        <v>3375</v>
      </c>
      <c r="P250" s="59"/>
      <c r="Q250" s="59">
        <f t="shared" si="30"/>
        <v>0</v>
      </c>
      <c r="R250" s="59">
        <f t="shared" si="34"/>
        <v>0</v>
      </c>
      <c r="S250" s="13"/>
      <c r="T250" s="13"/>
      <c r="U250" s="13"/>
      <c r="V250" s="13"/>
      <c r="W250" s="13"/>
    </row>
    <row r="251" spans="1:23" s="1" customFormat="1" ht="18.75" customHeight="1" x14ac:dyDescent="0.35">
      <c r="A251" s="14">
        <v>262</v>
      </c>
      <c r="B251" s="57" t="s">
        <v>753</v>
      </c>
      <c r="C251" s="57" t="s">
        <v>774</v>
      </c>
      <c r="D251" s="57" t="s">
        <v>772</v>
      </c>
      <c r="E251" s="57" t="s">
        <v>27</v>
      </c>
      <c r="F251" s="57" t="s">
        <v>773</v>
      </c>
      <c r="G251" s="57" t="s">
        <v>113</v>
      </c>
      <c r="H251" s="58">
        <v>0.08</v>
      </c>
      <c r="I251" s="107" t="s">
        <v>1293</v>
      </c>
      <c r="J251" s="57" t="s">
        <v>24</v>
      </c>
      <c r="K251" s="57" t="s">
        <v>25</v>
      </c>
      <c r="L251" s="17">
        <v>3</v>
      </c>
      <c r="M251" s="59">
        <f t="shared" si="32"/>
        <v>200</v>
      </c>
      <c r="N251" s="59">
        <f t="shared" si="33"/>
        <v>600</v>
      </c>
      <c r="O251" s="59">
        <f t="shared" si="35"/>
        <v>600</v>
      </c>
      <c r="P251" s="59"/>
      <c r="Q251" s="59">
        <f t="shared" si="30"/>
        <v>0</v>
      </c>
      <c r="R251" s="59">
        <f t="shared" si="34"/>
        <v>0</v>
      </c>
      <c r="S251" s="13"/>
      <c r="T251" s="13"/>
      <c r="U251" s="13"/>
      <c r="V251" s="13"/>
      <c r="W251" s="13"/>
    </row>
    <row r="252" spans="1:23" s="1" customFormat="1" ht="18.75" customHeight="1" x14ac:dyDescent="0.35">
      <c r="A252" s="14">
        <v>263</v>
      </c>
      <c r="B252" s="57" t="s">
        <v>753</v>
      </c>
      <c r="C252" s="57" t="s">
        <v>775</v>
      </c>
      <c r="D252" s="57" t="s">
        <v>772</v>
      </c>
      <c r="E252" s="57" t="s">
        <v>27</v>
      </c>
      <c r="F252" s="57" t="s">
        <v>773</v>
      </c>
      <c r="G252" s="57" t="s">
        <v>113</v>
      </c>
      <c r="H252" s="58">
        <v>0.16</v>
      </c>
      <c r="I252" s="107" t="s">
        <v>1292</v>
      </c>
      <c r="J252" s="57" t="s">
        <v>24</v>
      </c>
      <c r="K252" s="57" t="s">
        <v>25</v>
      </c>
      <c r="L252" s="17">
        <v>3</v>
      </c>
      <c r="M252" s="59">
        <f t="shared" si="32"/>
        <v>400</v>
      </c>
      <c r="N252" s="59">
        <f t="shared" si="33"/>
        <v>1200</v>
      </c>
      <c r="O252" s="59">
        <f t="shared" si="35"/>
        <v>1200</v>
      </c>
      <c r="P252" s="59"/>
      <c r="Q252" s="59">
        <f t="shared" si="30"/>
        <v>0</v>
      </c>
      <c r="R252" s="59">
        <f t="shared" si="34"/>
        <v>0</v>
      </c>
      <c r="S252" s="13"/>
      <c r="T252" s="13"/>
      <c r="U252" s="13"/>
      <c r="V252" s="13"/>
      <c r="W252" s="13"/>
    </row>
    <row r="253" spans="1:23" s="1" customFormat="1" ht="18.75" customHeight="1" x14ac:dyDescent="0.35">
      <c r="A253" s="14">
        <v>264</v>
      </c>
      <c r="B253" s="57" t="s">
        <v>753</v>
      </c>
      <c r="C253" s="57" t="s">
        <v>776</v>
      </c>
      <c r="D253" s="57" t="s">
        <v>772</v>
      </c>
      <c r="E253" s="57" t="s">
        <v>27</v>
      </c>
      <c r="F253" s="57" t="s">
        <v>773</v>
      </c>
      <c r="G253" s="57" t="s">
        <v>113</v>
      </c>
      <c r="H253" s="58">
        <v>0.16</v>
      </c>
      <c r="I253" s="107" t="s">
        <v>1291</v>
      </c>
      <c r="J253" s="57" t="s">
        <v>24</v>
      </c>
      <c r="K253" s="57" t="s">
        <v>25</v>
      </c>
      <c r="L253" s="17">
        <v>3</v>
      </c>
      <c r="M253" s="59">
        <f t="shared" si="32"/>
        <v>400</v>
      </c>
      <c r="N253" s="59">
        <f t="shared" si="33"/>
        <v>1200</v>
      </c>
      <c r="O253" s="59">
        <f t="shared" si="35"/>
        <v>1200</v>
      </c>
      <c r="P253" s="59"/>
      <c r="Q253" s="59">
        <f t="shared" si="30"/>
        <v>0</v>
      </c>
      <c r="R253" s="59">
        <f t="shared" si="34"/>
        <v>0</v>
      </c>
      <c r="S253" s="13"/>
      <c r="T253" s="13"/>
      <c r="U253" s="13"/>
      <c r="V253" s="13"/>
      <c r="W253" s="13"/>
    </row>
    <row r="254" spans="1:23" s="1" customFormat="1" ht="18.75" customHeight="1" x14ac:dyDescent="0.35">
      <c r="A254" s="14">
        <v>265</v>
      </c>
      <c r="B254" s="57" t="s">
        <v>753</v>
      </c>
      <c r="C254" s="57" t="s">
        <v>777</v>
      </c>
      <c r="D254" s="57" t="s">
        <v>772</v>
      </c>
      <c r="E254" s="57" t="s">
        <v>27</v>
      </c>
      <c r="F254" s="57" t="s">
        <v>773</v>
      </c>
      <c r="G254" s="57" t="s">
        <v>113</v>
      </c>
      <c r="H254" s="58">
        <v>0.16</v>
      </c>
      <c r="I254" s="107" t="s">
        <v>1290</v>
      </c>
      <c r="J254" s="57" t="s">
        <v>24</v>
      </c>
      <c r="K254" s="57" t="s">
        <v>25</v>
      </c>
      <c r="L254" s="17">
        <v>3</v>
      </c>
      <c r="M254" s="59">
        <f t="shared" si="32"/>
        <v>400</v>
      </c>
      <c r="N254" s="59">
        <f t="shared" si="33"/>
        <v>1200</v>
      </c>
      <c r="O254" s="59">
        <f t="shared" si="35"/>
        <v>1200</v>
      </c>
      <c r="P254" s="59"/>
      <c r="Q254" s="59">
        <f t="shared" si="30"/>
        <v>0</v>
      </c>
      <c r="R254" s="59">
        <f t="shared" si="34"/>
        <v>0</v>
      </c>
      <c r="S254" s="13"/>
      <c r="T254" s="13"/>
      <c r="U254" s="13"/>
      <c r="V254" s="13"/>
      <c r="W254" s="13"/>
    </row>
    <row r="255" spans="1:23" s="1" customFormat="1" ht="18.75" customHeight="1" x14ac:dyDescent="0.35">
      <c r="A255" s="14">
        <v>266</v>
      </c>
      <c r="B255" s="57" t="s">
        <v>753</v>
      </c>
      <c r="C255" s="57" t="s">
        <v>778</v>
      </c>
      <c r="D255" s="57" t="s">
        <v>772</v>
      </c>
      <c r="E255" s="57" t="s">
        <v>27</v>
      </c>
      <c r="F255" s="57" t="s">
        <v>773</v>
      </c>
      <c r="G255" s="57" t="s">
        <v>113</v>
      </c>
      <c r="H255" s="58">
        <v>0.16</v>
      </c>
      <c r="I255" s="107" t="s">
        <v>1289</v>
      </c>
      <c r="J255" s="57" t="s">
        <v>24</v>
      </c>
      <c r="K255" s="57" t="s">
        <v>25</v>
      </c>
      <c r="L255" s="17">
        <v>3</v>
      </c>
      <c r="M255" s="59">
        <f t="shared" si="32"/>
        <v>400</v>
      </c>
      <c r="N255" s="59">
        <f t="shared" si="33"/>
        <v>1200</v>
      </c>
      <c r="O255" s="59">
        <f t="shared" si="35"/>
        <v>1200</v>
      </c>
      <c r="P255" s="59"/>
      <c r="Q255" s="59">
        <f t="shared" si="30"/>
        <v>0</v>
      </c>
      <c r="R255" s="59">
        <f t="shared" si="34"/>
        <v>0</v>
      </c>
      <c r="S255" s="13"/>
      <c r="T255" s="13"/>
      <c r="U255" s="13"/>
      <c r="V255" s="13"/>
      <c r="W255" s="13"/>
    </row>
    <row r="256" spans="1:23" s="1" customFormat="1" ht="18.75" customHeight="1" x14ac:dyDescent="0.35">
      <c r="A256" s="14">
        <v>267</v>
      </c>
      <c r="B256" s="57" t="s">
        <v>753</v>
      </c>
      <c r="C256" s="57" t="s">
        <v>779</v>
      </c>
      <c r="D256" s="57" t="s">
        <v>772</v>
      </c>
      <c r="E256" s="57" t="s">
        <v>27</v>
      </c>
      <c r="F256" s="57" t="s">
        <v>773</v>
      </c>
      <c r="G256" s="57" t="s">
        <v>113</v>
      </c>
      <c r="H256" s="58">
        <v>0.16</v>
      </c>
      <c r="I256" s="107" t="s">
        <v>1288</v>
      </c>
      <c r="J256" s="57" t="s">
        <v>24</v>
      </c>
      <c r="K256" s="57" t="s">
        <v>25</v>
      </c>
      <c r="L256" s="17">
        <v>3</v>
      </c>
      <c r="M256" s="59">
        <f t="shared" si="32"/>
        <v>400</v>
      </c>
      <c r="N256" s="59">
        <f t="shared" si="33"/>
        <v>1200</v>
      </c>
      <c r="O256" s="59">
        <f t="shared" si="35"/>
        <v>1200</v>
      </c>
      <c r="P256" s="59"/>
      <c r="Q256" s="59">
        <f t="shared" si="30"/>
        <v>0</v>
      </c>
      <c r="R256" s="59">
        <f t="shared" si="34"/>
        <v>0</v>
      </c>
      <c r="S256" s="13"/>
      <c r="T256" s="13"/>
      <c r="U256" s="13"/>
      <c r="V256" s="13"/>
      <c r="W256" s="13"/>
    </row>
    <row r="257" spans="1:23" s="1" customFormat="1" ht="18.75" customHeight="1" x14ac:dyDescent="0.35">
      <c r="A257" s="14">
        <v>268</v>
      </c>
      <c r="B257" s="57" t="s">
        <v>753</v>
      </c>
      <c r="C257" s="57" t="s">
        <v>780</v>
      </c>
      <c r="D257" s="57" t="s">
        <v>772</v>
      </c>
      <c r="E257" s="57" t="s">
        <v>27</v>
      </c>
      <c r="F257" s="57" t="s">
        <v>781</v>
      </c>
      <c r="G257" s="57" t="s">
        <v>29</v>
      </c>
      <c r="H257" s="58">
        <v>3.2</v>
      </c>
      <c r="I257" s="107" t="s">
        <v>1287</v>
      </c>
      <c r="J257" s="57" t="s">
        <v>24</v>
      </c>
      <c r="K257" s="57" t="s">
        <v>35</v>
      </c>
      <c r="L257" s="17">
        <v>3</v>
      </c>
      <c r="M257" s="59">
        <f t="shared" si="32"/>
        <v>8000</v>
      </c>
      <c r="N257" s="59">
        <f t="shared" si="33"/>
        <v>24000</v>
      </c>
      <c r="O257" s="60">
        <f>M257*L257</f>
        <v>24000</v>
      </c>
      <c r="P257" s="59"/>
      <c r="Q257" s="59">
        <f t="shared" si="30"/>
        <v>0</v>
      </c>
      <c r="R257" s="59">
        <f t="shared" si="34"/>
        <v>0</v>
      </c>
      <c r="S257" s="13"/>
      <c r="T257" s="13"/>
      <c r="U257" s="13"/>
      <c r="V257" s="13"/>
      <c r="W257" s="13"/>
    </row>
    <row r="258" spans="1:23" s="1" customFormat="1" ht="18.75" customHeight="1" x14ac:dyDescent="0.35">
      <c r="A258" s="14">
        <v>269</v>
      </c>
      <c r="B258" s="57" t="s">
        <v>753</v>
      </c>
      <c r="C258" s="57" t="s">
        <v>780</v>
      </c>
      <c r="D258" s="57" t="s">
        <v>772</v>
      </c>
      <c r="E258" s="57" t="s">
        <v>782</v>
      </c>
      <c r="F258" s="57" t="s">
        <v>781</v>
      </c>
      <c r="G258" s="57" t="s">
        <v>29</v>
      </c>
      <c r="H258" s="60">
        <v>6</v>
      </c>
      <c r="I258" s="107" t="s">
        <v>1286</v>
      </c>
      <c r="J258" s="57" t="s">
        <v>24</v>
      </c>
      <c r="K258" s="57" t="s">
        <v>35</v>
      </c>
      <c r="L258" s="17">
        <v>3</v>
      </c>
      <c r="M258" s="59">
        <f t="shared" si="32"/>
        <v>15000</v>
      </c>
      <c r="N258" s="59">
        <f t="shared" si="33"/>
        <v>45000</v>
      </c>
      <c r="O258" s="60">
        <f>M258*L258</f>
        <v>45000</v>
      </c>
      <c r="P258" s="59"/>
      <c r="Q258" s="59">
        <f t="shared" si="30"/>
        <v>0</v>
      </c>
      <c r="R258" s="59">
        <f t="shared" si="34"/>
        <v>0</v>
      </c>
      <c r="S258" s="13"/>
      <c r="T258" s="13"/>
      <c r="U258" s="13"/>
      <c r="V258" s="13"/>
      <c r="W258" s="13"/>
    </row>
    <row r="259" spans="1:23" s="1" customFormat="1" ht="18.75" customHeight="1" x14ac:dyDescent="0.35">
      <c r="A259" s="14">
        <v>270</v>
      </c>
      <c r="B259" s="57" t="s">
        <v>753</v>
      </c>
      <c r="C259" s="57" t="s">
        <v>783</v>
      </c>
      <c r="D259" s="57" t="s">
        <v>772</v>
      </c>
      <c r="E259" s="57" t="s">
        <v>27</v>
      </c>
      <c r="F259" s="57" t="s">
        <v>781</v>
      </c>
      <c r="G259" s="57" t="s">
        <v>29</v>
      </c>
      <c r="H259" s="60">
        <v>3</v>
      </c>
      <c r="I259" s="107" t="s">
        <v>1285</v>
      </c>
      <c r="J259" s="57" t="s">
        <v>24</v>
      </c>
      <c r="K259" s="57" t="s">
        <v>35</v>
      </c>
      <c r="L259" s="17">
        <v>3</v>
      </c>
      <c r="M259" s="59">
        <f t="shared" si="32"/>
        <v>7500</v>
      </c>
      <c r="N259" s="59">
        <f t="shared" si="33"/>
        <v>22500</v>
      </c>
      <c r="O259" s="60">
        <f>M259*L259</f>
        <v>22500</v>
      </c>
      <c r="P259" s="59"/>
      <c r="Q259" s="59">
        <f t="shared" si="30"/>
        <v>0</v>
      </c>
      <c r="R259" s="59">
        <f t="shared" si="34"/>
        <v>0</v>
      </c>
      <c r="S259" s="13"/>
      <c r="T259" s="13"/>
      <c r="U259" s="13"/>
      <c r="V259" s="13"/>
      <c r="W259" s="13"/>
    </row>
    <row r="260" spans="1:23" s="1" customFormat="1" ht="18.75" customHeight="1" x14ac:dyDescent="0.35">
      <c r="A260" s="14">
        <v>271</v>
      </c>
      <c r="B260" s="57" t="s">
        <v>753</v>
      </c>
      <c r="C260" s="57" t="s">
        <v>784</v>
      </c>
      <c r="D260" s="57" t="s">
        <v>644</v>
      </c>
      <c r="E260" s="57" t="s">
        <v>57</v>
      </c>
      <c r="F260" s="57" t="s">
        <v>756</v>
      </c>
      <c r="G260" s="57" t="s">
        <v>23</v>
      </c>
      <c r="H260" s="58">
        <v>12.2</v>
      </c>
      <c r="I260" s="107" t="s">
        <v>1284</v>
      </c>
      <c r="J260" s="57" t="s">
        <v>30</v>
      </c>
      <c r="K260" s="57" t="s">
        <v>35</v>
      </c>
      <c r="L260" s="17">
        <v>10</v>
      </c>
      <c r="M260" s="59">
        <f t="shared" si="32"/>
        <v>30500</v>
      </c>
      <c r="N260" s="59">
        <f t="shared" si="33"/>
        <v>305000</v>
      </c>
      <c r="O260" s="59">
        <f>M260*2</f>
        <v>61000</v>
      </c>
      <c r="P260" s="59">
        <f>M260*8*0.8</f>
        <v>195200</v>
      </c>
      <c r="Q260" s="59">
        <f t="shared" si="30"/>
        <v>2788.5714285714284</v>
      </c>
      <c r="R260" s="59">
        <f t="shared" si="34"/>
        <v>11154.285714285714</v>
      </c>
      <c r="S260" s="13"/>
      <c r="T260" s="13"/>
      <c r="U260" s="13"/>
      <c r="V260" s="13"/>
      <c r="W260" s="13"/>
    </row>
    <row r="261" spans="1:23" s="1" customFormat="1" ht="18.75" customHeight="1" x14ac:dyDescent="0.35">
      <c r="A261" s="14">
        <v>272</v>
      </c>
      <c r="B261" s="57" t="s">
        <v>753</v>
      </c>
      <c r="C261" s="57" t="s">
        <v>785</v>
      </c>
      <c r="D261" s="57" t="s">
        <v>786</v>
      </c>
      <c r="E261" s="57" t="s">
        <v>644</v>
      </c>
      <c r="F261" s="57" t="s">
        <v>787</v>
      </c>
      <c r="G261" s="57" t="s">
        <v>113</v>
      </c>
      <c r="H261" s="58">
        <v>1.9</v>
      </c>
      <c r="I261" s="107" t="s">
        <v>1283</v>
      </c>
      <c r="J261" s="57" t="s">
        <v>24</v>
      </c>
      <c r="K261" s="57" t="s">
        <v>35</v>
      </c>
      <c r="L261" s="17">
        <v>5</v>
      </c>
      <c r="M261" s="59">
        <f t="shared" si="32"/>
        <v>4750</v>
      </c>
      <c r="N261" s="59">
        <f t="shared" si="33"/>
        <v>23750</v>
      </c>
      <c r="O261" s="59">
        <f>M261*L261</f>
        <v>23750</v>
      </c>
      <c r="P261" s="59"/>
      <c r="Q261" s="59">
        <f t="shared" si="30"/>
        <v>0</v>
      </c>
      <c r="R261" s="59">
        <f>Q261*7</f>
        <v>0</v>
      </c>
      <c r="S261" s="13"/>
      <c r="T261" s="13"/>
      <c r="U261" s="13"/>
      <c r="V261" s="13"/>
      <c r="W261" s="13"/>
    </row>
    <row r="262" spans="1:23" s="1" customFormat="1" ht="18.75" customHeight="1" x14ac:dyDescent="0.35">
      <c r="A262" s="14">
        <v>273</v>
      </c>
      <c r="B262" s="57" t="s">
        <v>753</v>
      </c>
      <c r="C262" s="57" t="s">
        <v>788</v>
      </c>
      <c r="D262" s="57" t="s">
        <v>82</v>
      </c>
      <c r="E262" s="57" t="s">
        <v>57</v>
      </c>
      <c r="F262" s="57" t="s">
        <v>756</v>
      </c>
      <c r="G262" s="57" t="s">
        <v>23</v>
      </c>
      <c r="H262" s="58">
        <v>17.100000000000001</v>
      </c>
      <c r="I262" s="107" t="s">
        <v>1282</v>
      </c>
      <c r="J262" s="57" t="s">
        <v>24</v>
      </c>
      <c r="K262" s="57" t="s">
        <v>51</v>
      </c>
      <c r="L262" s="17">
        <v>10</v>
      </c>
      <c r="M262" s="61">
        <f t="shared" si="32"/>
        <v>42750</v>
      </c>
      <c r="N262" s="61">
        <f t="shared" si="33"/>
        <v>427500</v>
      </c>
      <c r="O262" s="61">
        <f>M262*2</f>
        <v>85500</v>
      </c>
      <c r="P262" s="61">
        <f>M262*8*0.8</f>
        <v>273600</v>
      </c>
      <c r="Q262" s="61">
        <f t="shared" si="30"/>
        <v>3908.5714285714284</v>
      </c>
      <c r="R262" s="61">
        <f>Q262*4</f>
        <v>15634.285714285714</v>
      </c>
      <c r="S262" s="13"/>
      <c r="T262" s="13"/>
      <c r="U262" s="13"/>
      <c r="V262" s="13"/>
      <c r="W262" s="13"/>
    </row>
    <row r="263" spans="1:23" s="1" customFormat="1" ht="48.65" customHeight="1" x14ac:dyDescent="0.35">
      <c r="A263" s="14">
        <v>274</v>
      </c>
      <c r="B263" s="57" t="s">
        <v>753</v>
      </c>
      <c r="C263" s="57" t="s">
        <v>789</v>
      </c>
      <c r="D263" s="57" t="s">
        <v>82</v>
      </c>
      <c r="E263" s="57" t="s">
        <v>57</v>
      </c>
      <c r="F263" s="57" t="s">
        <v>756</v>
      </c>
      <c r="G263" s="57" t="s">
        <v>23</v>
      </c>
      <c r="H263" s="60">
        <v>263</v>
      </c>
      <c r="I263" s="107" t="s">
        <v>1281</v>
      </c>
      <c r="J263" s="57" t="s">
        <v>24</v>
      </c>
      <c r="K263" s="57" t="s">
        <v>51</v>
      </c>
      <c r="L263" s="17">
        <v>8</v>
      </c>
      <c r="M263" s="59">
        <f t="shared" si="32"/>
        <v>657500</v>
      </c>
      <c r="N263" s="59">
        <f t="shared" si="33"/>
        <v>5260000</v>
      </c>
      <c r="O263" s="59">
        <f>M263*2</f>
        <v>1315000</v>
      </c>
      <c r="P263" s="59">
        <f>M263*6*0.8</f>
        <v>3156000</v>
      </c>
      <c r="Q263" s="59">
        <f t="shared" si="30"/>
        <v>45085.714285714283</v>
      </c>
      <c r="R263" s="59">
        <f>Q263*4</f>
        <v>180342.85714285713</v>
      </c>
      <c r="S263" s="13"/>
      <c r="T263" s="13"/>
      <c r="U263" s="13"/>
      <c r="V263" s="13"/>
      <c r="W263" s="13"/>
    </row>
    <row r="264" spans="1:23" s="1" customFormat="1" ht="18.75" customHeight="1" x14ac:dyDescent="0.35">
      <c r="A264" s="14">
        <v>275</v>
      </c>
      <c r="B264" s="57" t="s">
        <v>753</v>
      </c>
      <c r="C264" s="57" t="s">
        <v>790</v>
      </c>
      <c r="D264" s="57" t="s">
        <v>782</v>
      </c>
      <c r="E264" s="57" t="s">
        <v>57</v>
      </c>
      <c r="F264" s="57" t="s">
        <v>756</v>
      </c>
      <c r="G264" s="57" t="s">
        <v>23</v>
      </c>
      <c r="H264" s="60">
        <v>14</v>
      </c>
      <c r="I264" s="107" t="s">
        <v>1280</v>
      </c>
      <c r="J264" s="57" t="s">
        <v>24</v>
      </c>
      <c r="K264" s="57" t="s">
        <v>51</v>
      </c>
      <c r="L264" s="17">
        <v>10</v>
      </c>
      <c r="M264" s="61">
        <f t="shared" si="32"/>
        <v>35000</v>
      </c>
      <c r="N264" s="61">
        <f t="shared" si="33"/>
        <v>350000</v>
      </c>
      <c r="O264" s="61">
        <f>M264*2</f>
        <v>70000</v>
      </c>
      <c r="P264" s="61">
        <f>M264*8*0.8</f>
        <v>224000</v>
      </c>
      <c r="Q264" s="61">
        <f t="shared" ref="Q264:Q273" si="36">P264/70</f>
        <v>3200</v>
      </c>
      <c r="R264" s="61">
        <f>Q264*4</f>
        <v>12800</v>
      </c>
      <c r="S264" s="13"/>
      <c r="T264" s="13"/>
      <c r="U264" s="13"/>
      <c r="V264" s="13"/>
      <c r="W264" s="13"/>
    </row>
    <row r="265" spans="1:23" s="1" customFormat="1" ht="18.75" customHeight="1" x14ac:dyDescent="0.35">
      <c r="A265" s="14">
        <v>276</v>
      </c>
      <c r="B265" s="57" t="s">
        <v>753</v>
      </c>
      <c r="C265" s="57" t="s">
        <v>791</v>
      </c>
      <c r="D265" s="57" t="s">
        <v>782</v>
      </c>
      <c r="E265" s="57" t="s">
        <v>792</v>
      </c>
      <c r="F265" s="57" t="s">
        <v>756</v>
      </c>
      <c r="G265" s="57" t="s">
        <v>23</v>
      </c>
      <c r="H265" s="58">
        <v>6.1</v>
      </c>
      <c r="I265" s="107" t="s">
        <v>1279</v>
      </c>
      <c r="J265" s="57" t="s">
        <v>24</v>
      </c>
      <c r="K265" s="57" t="s">
        <v>51</v>
      </c>
      <c r="L265" s="17">
        <v>12</v>
      </c>
      <c r="M265" s="59">
        <f t="shared" si="32"/>
        <v>15250</v>
      </c>
      <c r="N265" s="59">
        <f t="shared" si="33"/>
        <v>183000</v>
      </c>
      <c r="O265" s="59">
        <f>M265*2</f>
        <v>30500</v>
      </c>
      <c r="P265" s="59">
        <f>M265*10*0.8</f>
        <v>122000</v>
      </c>
      <c r="Q265" s="59">
        <f t="shared" si="36"/>
        <v>1742.8571428571429</v>
      </c>
      <c r="R265" s="59">
        <f>Q265*4</f>
        <v>6971.4285714285716</v>
      </c>
      <c r="S265" s="13"/>
      <c r="T265" s="13"/>
      <c r="U265" s="13"/>
      <c r="V265" s="13"/>
      <c r="W265" s="13"/>
    </row>
    <row r="266" spans="1:23" s="1" customFormat="1" ht="18.75" customHeight="1" x14ac:dyDescent="0.35">
      <c r="A266" s="14">
        <v>277</v>
      </c>
      <c r="B266" s="57" t="s">
        <v>753</v>
      </c>
      <c r="C266" s="57" t="s">
        <v>793</v>
      </c>
      <c r="D266" s="57" t="s">
        <v>782</v>
      </c>
      <c r="E266" s="57" t="s">
        <v>792</v>
      </c>
      <c r="F266" s="57" t="s">
        <v>756</v>
      </c>
      <c r="G266" s="57" t="s">
        <v>23</v>
      </c>
      <c r="H266" s="58">
        <v>7.8</v>
      </c>
      <c r="I266" s="107" t="s">
        <v>1278</v>
      </c>
      <c r="J266" s="57" t="s">
        <v>24</v>
      </c>
      <c r="K266" s="57" t="s">
        <v>35</v>
      </c>
      <c r="L266" s="17">
        <v>12</v>
      </c>
      <c r="M266" s="59">
        <f t="shared" si="32"/>
        <v>19500</v>
      </c>
      <c r="N266" s="59">
        <f t="shared" si="33"/>
        <v>234000</v>
      </c>
      <c r="O266" s="59">
        <f>M266*2</f>
        <v>39000</v>
      </c>
      <c r="P266" s="59">
        <f>M266*10*0.8</f>
        <v>156000</v>
      </c>
      <c r="Q266" s="59">
        <f t="shared" si="36"/>
        <v>2228.5714285714284</v>
      </c>
      <c r="R266" s="59">
        <f>Q266*4</f>
        <v>8914.2857142857138</v>
      </c>
      <c r="S266" s="13"/>
      <c r="T266" s="13"/>
      <c r="U266" s="13"/>
      <c r="V266" s="13"/>
      <c r="W266" s="13"/>
    </row>
    <row r="267" spans="1:23" s="1" customFormat="1" ht="18.75" customHeight="1" x14ac:dyDescent="0.35">
      <c r="A267" s="14">
        <v>278</v>
      </c>
      <c r="B267" s="57" t="s">
        <v>753</v>
      </c>
      <c r="C267" s="57" t="s">
        <v>794</v>
      </c>
      <c r="D267" s="57" t="s">
        <v>422</v>
      </c>
      <c r="E267" s="57" t="s">
        <v>644</v>
      </c>
      <c r="F267" s="57" t="s">
        <v>781</v>
      </c>
      <c r="G267" s="57" t="s">
        <v>29</v>
      </c>
      <c r="H267" s="58">
        <v>22.8</v>
      </c>
      <c r="I267" s="107" t="s">
        <v>1277</v>
      </c>
      <c r="J267" s="57" t="s">
        <v>24</v>
      </c>
      <c r="K267" s="57" t="s">
        <v>51</v>
      </c>
      <c r="L267" s="17">
        <v>4</v>
      </c>
      <c r="M267" s="59">
        <f t="shared" si="32"/>
        <v>57000</v>
      </c>
      <c r="N267" s="59">
        <f t="shared" si="33"/>
        <v>228000</v>
      </c>
      <c r="O267" s="60">
        <f>M267*L267</f>
        <v>228000</v>
      </c>
      <c r="P267" s="59"/>
      <c r="Q267" s="59">
        <f t="shared" si="36"/>
        <v>0</v>
      </c>
      <c r="R267" s="59">
        <f>Q267*7</f>
        <v>0</v>
      </c>
      <c r="S267" s="13"/>
      <c r="T267" s="13"/>
      <c r="U267" s="13"/>
      <c r="V267" s="13"/>
      <c r="W267" s="13"/>
    </row>
    <row r="268" spans="1:23" s="1" customFormat="1" ht="18.75" customHeight="1" x14ac:dyDescent="0.35">
      <c r="A268" s="14">
        <v>279</v>
      </c>
      <c r="B268" s="57" t="s">
        <v>753</v>
      </c>
      <c r="C268" s="57" t="s">
        <v>795</v>
      </c>
      <c r="D268" s="57" t="s">
        <v>453</v>
      </c>
      <c r="E268" s="57" t="s">
        <v>792</v>
      </c>
      <c r="F268" s="57" t="s">
        <v>756</v>
      </c>
      <c r="G268" s="57" t="s">
        <v>23</v>
      </c>
      <c r="H268" s="58">
        <v>34.4</v>
      </c>
      <c r="I268" s="107" t="s">
        <v>1276</v>
      </c>
      <c r="J268" s="57" t="s">
        <v>30</v>
      </c>
      <c r="K268" s="57" t="s">
        <v>51</v>
      </c>
      <c r="L268" s="17">
        <v>10</v>
      </c>
      <c r="M268" s="59">
        <f t="shared" si="32"/>
        <v>86000</v>
      </c>
      <c r="N268" s="59">
        <f t="shared" si="33"/>
        <v>860000</v>
      </c>
      <c r="O268" s="59">
        <f>M268*2</f>
        <v>172000</v>
      </c>
      <c r="P268" s="59">
        <f>M268*8*0.8</f>
        <v>550400</v>
      </c>
      <c r="Q268" s="59">
        <f t="shared" si="36"/>
        <v>7862.8571428571431</v>
      </c>
      <c r="R268" s="59">
        <f>Q268*4</f>
        <v>31451.428571428572</v>
      </c>
      <c r="S268" s="13"/>
      <c r="T268" s="13"/>
      <c r="U268" s="13"/>
      <c r="V268" s="13"/>
      <c r="W268" s="13"/>
    </row>
    <row r="269" spans="1:23" s="1" customFormat="1" ht="18.75" customHeight="1" x14ac:dyDescent="0.35">
      <c r="A269" s="14">
        <v>280</v>
      </c>
      <c r="B269" s="57" t="s">
        <v>753</v>
      </c>
      <c r="C269" s="57" t="s">
        <v>796</v>
      </c>
      <c r="D269" s="57" t="s">
        <v>762</v>
      </c>
      <c r="E269" s="57" t="s">
        <v>763</v>
      </c>
      <c r="F269" s="57" t="s">
        <v>756</v>
      </c>
      <c r="G269" s="57" t="s">
        <v>23</v>
      </c>
      <c r="H269" s="60">
        <v>45</v>
      </c>
      <c r="I269" s="107" t="s">
        <v>1275</v>
      </c>
      <c r="J269" s="57" t="s">
        <v>24</v>
      </c>
      <c r="K269" s="57" t="s">
        <v>51</v>
      </c>
      <c r="L269" s="17">
        <v>16</v>
      </c>
      <c r="M269" s="61">
        <f t="shared" si="32"/>
        <v>112500</v>
      </c>
      <c r="N269" s="61">
        <f t="shared" si="33"/>
        <v>1800000</v>
      </c>
      <c r="O269" s="61">
        <f>M269*6</f>
        <v>675000</v>
      </c>
      <c r="P269" s="61">
        <f>M269*10*0.8</f>
        <v>900000</v>
      </c>
      <c r="Q269" s="61">
        <f t="shared" si="36"/>
        <v>12857.142857142857</v>
      </c>
      <c r="R269" s="61">
        <f>Q269*4</f>
        <v>51428.571428571428</v>
      </c>
      <c r="S269" s="13"/>
      <c r="T269" s="13"/>
      <c r="U269" s="13"/>
      <c r="V269" s="13"/>
      <c r="W269" s="13"/>
    </row>
    <row r="270" spans="1:23" s="1" customFormat="1" ht="18.75" customHeight="1" x14ac:dyDescent="0.35">
      <c r="A270" s="14">
        <v>281</v>
      </c>
      <c r="B270" s="57" t="s">
        <v>753</v>
      </c>
      <c r="C270" s="57" t="s">
        <v>797</v>
      </c>
      <c r="D270" s="57" t="s">
        <v>798</v>
      </c>
      <c r="E270" s="57" t="s">
        <v>57</v>
      </c>
      <c r="F270" s="57" t="s">
        <v>756</v>
      </c>
      <c r="G270" s="57" t="s">
        <v>23</v>
      </c>
      <c r="H270" s="60">
        <v>33</v>
      </c>
      <c r="I270" s="107" t="s">
        <v>1274</v>
      </c>
      <c r="J270" s="57" t="s">
        <v>24</v>
      </c>
      <c r="K270" s="57" t="s">
        <v>51</v>
      </c>
      <c r="L270" s="17">
        <v>10</v>
      </c>
      <c r="M270" s="59">
        <f t="shared" si="32"/>
        <v>82500</v>
      </c>
      <c r="N270" s="59">
        <f t="shared" si="33"/>
        <v>825000</v>
      </c>
      <c r="O270" s="59">
        <f>M270*2</f>
        <v>165000</v>
      </c>
      <c r="P270" s="59">
        <f>M270*8*0.8</f>
        <v>528000</v>
      </c>
      <c r="Q270" s="59">
        <f t="shared" si="36"/>
        <v>7542.8571428571431</v>
      </c>
      <c r="R270" s="59">
        <f>Q270*4</f>
        <v>30171.428571428572</v>
      </c>
      <c r="S270" s="13"/>
      <c r="T270" s="13"/>
      <c r="U270" s="13"/>
      <c r="V270" s="13"/>
      <c r="W270" s="13"/>
    </row>
    <row r="271" spans="1:23" s="1" customFormat="1" ht="18.75" customHeight="1" x14ac:dyDescent="0.35">
      <c r="A271" s="14">
        <v>282</v>
      </c>
      <c r="B271" s="57" t="s">
        <v>753</v>
      </c>
      <c r="C271" s="57" t="s">
        <v>799</v>
      </c>
      <c r="D271" s="57" t="s">
        <v>800</v>
      </c>
      <c r="E271" s="57" t="s">
        <v>644</v>
      </c>
      <c r="F271" s="57" t="s">
        <v>801</v>
      </c>
      <c r="G271" s="57" t="s">
        <v>29</v>
      </c>
      <c r="H271" s="58">
        <v>7.1</v>
      </c>
      <c r="I271" s="107" t="s">
        <v>1273</v>
      </c>
      <c r="J271" s="57" t="s">
        <v>89</v>
      </c>
      <c r="K271" s="57" t="s">
        <v>51</v>
      </c>
      <c r="L271" s="17">
        <v>4</v>
      </c>
      <c r="M271" s="59">
        <f t="shared" si="32"/>
        <v>17750</v>
      </c>
      <c r="N271" s="59">
        <f t="shared" si="33"/>
        <v>71000</v>
      </c>
      <c r="O271" s="60">
        <f>M271*L271</f>
        <v>71000</v>
      </c>
      <c r="P271" s="59"/>
      <c r="Q271" s="59">
        <f t="shared" si="36"/>
        <v>0</v>
      </c>
      <c r="R271" s="59">
        <f>Q271*7</f>
        <v>0</v>
      </c>
      <c r="S271" s="13"/>
      <c r="T271" s="13"/>
      <c r="U271" s="13"/>
      <c r="V271" s="13"/>
      <c r="W271" s="13"/>
    </row>
    <row r="272" spans="1:23" s="1" customFormat="1" ht="18.75" customHeight="1" x14ac:dyDescent="0.35">
      <c r="A272" s="14">
        <v>283</v>
      </c>
      <c r="B272" s="57" t="s">
        <v>753</v>
      </c>
      <c r="C272" s="57" t="s">
        <v>802</v>
      </c>
      <c r="D272" s="57" t="s">
        <v>436</v>
      </c>
      <c r="E272" s="57" t="s">
        <v>549</v>
      </c>
      <c r="F272" s="57" t="s">
        <v>770</v>
      </c>
      <c r="G272" s="57" t="s">
        <v>23</v>
      </c>
      <c r="H272" s="58">
        <v>1.8</v>
      </c>
      <c r="I272" s="107" t="s">
        <v>1272</v>
      </c>
      <c r="J272" s="57" t="s">
        <v>30</v>
      </c>
      <c r="K272" s="57" t="s">
        <v>35</v>
      </c>
      <c r="L272" s="17">
        <v>8</v>
      </c>
      <c r="M272" s="59">
        <f t="shared" si="32"/>
        <v>4500</v>
      </c>
      <c r="N272" s="59">
        <f t="shared" si="33"/>
        <v>36000</v>
      </c>
      <c r="O272" s="59">
        <f>M272*2</f>
        <v>9000</v>
      </c>
      <c r="P272" s="59">
        <f>M272*6*0.8</f>
        <v>21600</v>
      </c>
      <c r="Q272" s="59">
        <f t="shared" si="36"/>
        <v>308.57142857142856</v>
      </c>
      <c r="R272" s="59">
        <f>Q272*4</f>
        <v>1234.2857142857142</v>
      </c>
      <c r="S272" s="13"/>
      <c r="T272" s="13"/>
      <c r="U272" s="13"/>
      <c r="V272" s="13"/>
      <c r="W272" s="13"/>
    </row>
    <row r="273" spans="1:23" s="1" customFormat="1" ht="18.75" customHeight="1" x14ac:dyDescent="0.35">
      <c r="A273" s="14">
        <v>284</v>
      </c>
      <c r="B273" s="57" t="s">
        <v>753</v>
      </c>
      <c r="C273" s="57" t="s">
        <v>803</v>
      </c>
      <c r="D273" s="57" t="s">
        <v>422</v>
      </c>
      <c r="E273" s="35" t="s">
        <v>57</v>
      </c>
      <c r="F273" s="57" t="s">
        <v>770</v>
      </c>
      <c r="G273" s="57" t="s">
        <v>23</v>
      </c>
      <c r="H273" s="58">
        <v>12.8</v>
      </c>
      <c r="I273" s="107" t="s">
        <v>1271</v>
      </c>
      <c r="J273" s="57" t="s">
        <v>24</v>
      </c>
      <c r="K273" s="57" t="s">
        <v>51</v>
      </c>
      <c r="L273" s="17">
        <v>10</v>
      </c>
      <c r="M273" s="61">
        <f t="shared" si="32"/>
        <v>32000</v>
      </c>
      <c r="N273" s="61">
        <f t="shared" si="33"/>
        <v>320000</v>
      </c>
      <c r="O273" s="61">
        <f>M273*2</f>
        <v>64000</v>
      </c>
      <c r="P273" s="61">
        <f>M273*8*0.8</f>
        <v>204800</v>
      </c>
      <c r="Q273" s="61">
        <f t="shared" si="36"/>
        <v>2925.7142857142858</v>
      </c>
      <c r="R273" s="61">
        <f>Q273*4</f>
        <v>11702.857142857143</v>
      </c>
      <c r="S273" s="13"/>
      <c r="T273" s="13"/>
      <c r="U273" s="13"/>
      <c r="V273" s="13"/>
      <c r="W273" s="13"/>
    </row>
    <row r="274" spans="1:23" ht="18.75" customHeight="1" x14ac:dyDescent="0.35">
      <c r="A274" s="14">
        <v>285</v>
      </c>
      <c r="B274" s="57" t="s">
        <v>753</v>
      </c>
      <c r="C274" s="57" t="s">
        <v>804</v>
      </c>
      <c r="D274" s="57" t="s">
        <v>422</v>
      </c>
      <c r="E274" s="57" t="s">
        <v>782</v>
      </c>
      <c r="F274" s="57" t="s">
        <v>84</v>
      </c>
      <c r="G274" s="57" t="s">
        <v>84</v>
      </c>
      <c r="H274" s="58">
        <v>0.1</v>
      </c>
      <c r="I274" s="107" t="s">
        <v>1270</v>
      </c>
      <c r="J274" s="57" t="s">
        <v>24</v>
      </c>
      <c r="K274" s="57" t="s">
        <v>35</v>
      </c>
      <c r="L274" s="38">
        <v>5</v>
      </c>
      <c r="M274" s="17">
        <f>H274*10000</f>
        <v>1000</v>
      </c>
      <c r="N274" s="17">
        <f t="shared" si="33"/>
        <v>5000</v>
      </c>
      <c r="O274" s="17">
        <f t="shared" ref="O274:O280" si="37">M274*L274</f>
        <v>5000</v>
      </c>
      <c r="P274" s="59"/>
      <c r="Q274" s="59"/>
      <c r="R274" s="59"/>
      <c r="S274" s="13"/>
      <c r="T274" s="13"/>
      <c r="U274" s="13"/>
      <c r="V274" s="40"/>
      <c r="W274" s="13"/>
    </row>
    <row r="275" spans="1:23" ht="18.75" customHeight="1" x14ac:dyDescent="0.35">
      <c r="A275" s="14">
        <v>286</v>
      </c>
      <c r="B275" s="57" t="s">
        <v>753</v>
      </c>
      <c r="C275" s="57" t="s">
        <v>805</v>
      </c>
      <c r="D275" s="57" t="s">
        <v>422</v>
      </c>
      <c r="E275" s="57" t="s">
        <v>87</v>
      </c>
      <c r="F275" s="57" t="s">
        <v>801</v>
      </c>
      <c r="G275" s="62" t="s">
        <v>29</v>
      </c>
      <c r="H275" s="58">
        <v>0.8</v>
      </c>
      <c r="I275" s="107" t="s">
        <v>1269</v>
      </c>
      <c r="J275" s="57" t="s">
        <v>24</v>
      </c>
      <c r="K275" s="57" t="s">
        <v>35</v>
      </c>
      <c r="L275" s="38">
        <v>6</v>
      </c>
      <c r="M275" s="59">
        <f t="shared" ref="M275:M296" si="38">H275*10000*0.25</f>
        <v>2000</v>
      </c>
      <c r="N275" s="59">
        <f t="shared" si="33"/>
        <v>12000</v>
      </c>
      <c r="O275" s="60">
        <f t="shared" si="37"/>
        <v>12000</v>
      </c>
      <c r="P275" s="59"/>
      <c r="Q275" s="59">
        <f t="shared" ref="Q275:Q306" si="39">P275/70</f>
        <v>0</v>
      </c>
      <c r="R275" s="59">
        <f t="shared" ref="R275:R280" si="40">Q275*7</f>
        <v>0</v>
      </c>
      <c r="S275" s="13"/>
      <c r="T275" s="13"/>
      <c r="U275" s="13"/>
      <c r="V275" s="40"/>
      <c r="W275" s="13"/>
    </row>
    <row r="276" spans="1:23" ht="18.75" customHeight="1" x14ac:dyDescent="0.35">
      <c r="A276" s="14">
        <v>287</v>
      </c>
      <c r="B276" s="57" t="s">
        <v>753</v>
      </c>
      <c r="C276" s="57" t="s">
        <v>806</v>
      </c>
      <c r="D276" s="57" t="s">
        <v>422</v>
      </c>
      <c r="E276" s="57" t="s">
        <v>786</v>
      </c>
      <c r="F276" s="57" t="s">
        <v>781</v>
      </c>
      <c r="G276" s="62" t="s">
        <v>29</v>
      </c>
      <c r="H276" s="58">
        <v>0.09</v>
      </c>
      <c r="I276" s="107" t="s">
        <v>1268</v>
      </c>
      <c r="J276" s="57" t="s">
        <v>24</v>
      </c>
      <c r="K276" s="57" t="s">
        <v>25</v>
      </c>
      <c r="L276" s="38">
        <v>2</v>
      </c>
      <c r="M276" s="59">
        <f t="shared" si="38"/>
        <v>225</v>
      </c>
      <c r="N276" s="59">
        <f t="shared" si="33"/>
        <v>450</v>
      </c>
      <c r="O276" s="60">
        <f t="shared" si="37"/>
        <v>450</v>
      </c>
      <c r="P276" s="59"/>
      <c r="Q276" s="59">
        <f t="shared" si="39"/>
        <v>0</v>
      </c>
      <c r="R276" s="59">
        <f t="shared" si="40"/>
        <v>0</v>
      </c>
      <c r="S276" s="13"/>
      <c r="T276" s="13"/>
      <c r="U276" s="13"/>
      <c r="V276" s="40"/>
      <c r="W276" s="13"/>
    </row>
    <row r="277" spans="1:23" ht="18.75" customHeight="1" x14ac:dyDescent="0.35">
      <c r="A277" s="14">
        <v>288</v>
      </c>
      <c r="B277" s="57" t="s">
        <v>753</v>
      </c>
      <c r="C277" s="57" t="s">
        <v>807</v>
      </c>
      <c r="D277" s="57" t="s">
        <v>422</v>
      </c>
      <c r="E277" s="57" t="s">
        <v>644</v>
      </c>
      <c r="F277" s="57" t="s">
        <v>808</v>
      </c>
      <c r="G277" s="62" t="s">
        <v>29</v>
      </c>
      <c r="H277" s="58">
        <v>12.8</v>
      </c>
      <c r="I277" s="107" t="s">
        <v>1267</v>
      </c>
      <c r="J277" s="57" t="s">
        <v>24</v>
      </c>
      <c r="K277" s="57" t="s">
        <v>51</v>
      </c>
      <c r="L277" s="38">
        <v>6</v>
      </c>
      <c r="M277" s="59">
        <f t="shared" si="38"/>
        <v>32000</v>
      </c>
      <c r="N277" s="59">
        <f t="shared" si="33"/>
        <v>192000</v>
      </c>
      <c r="O277" s="60">
        <f t="shared" si="37"/>
        <v>192000</v>
      </c>
      <c r="P277" s="59"/>
      <c r="Q277" s="59">
        <f t="shared" si="39"/>
        <v>0</v>
      </c>
      <c r="R277" s="59">
        <f t="shared" si="40"/>
        <v>0</v>
      </c>
      <c r="S277" s="13"/>
      <c r="T277" s="13"/>
      <c r="U277" s="13"/>
      <c r="V277" s="40"/>
      <c r="W277" s="13"/>
    </row>
    <row r="278" spans="1:23" ht="18.75" customHeight="1" x14ac:dyDescent="0.35">
      <c r="A278" s="14">
        <v>289</v>
      </c>
      <c r="B278" s="57" t="s">
        <v>753</v>
      </c>
      <c r="C278" s="57" t="s">
        <v>809</v>
      </c>
      <c r="D278" s="57" t="s">
        <v>422</v>
      </c>
      <c r="E278" s="57" t="s">
        <v>782</v>
      </c>
      <c r="F278" s="57" t="s">
        <v>808</v>
      </c>
      <c r="G278" s="62" t="s">
        <v>29</v>
      </c>
      <c r="H278" s="58">
        <v>1.5</v>
      </c>
      <c r="I278" s="107" t="s">
        <v>1266</v>
      </c>
      <c r="J278" s="57" t="s">
        <v>89</v>
      </c>
      <c r="K278" s="57" t="s">
        <v>51</v>
      </c>
      <c r="L278" s="38">
        <v>4</v>
      </c>
      <c r="M278" s="59">
        <f t="shared" si="38"/>
        <v>3750</v>
      </c>
      <c r="N278" s="59">
        <f t="shared" si="33"/>
        <v>15000</v>
      </c>
      <c r="O278" s="60">
        <f t="shared" si="37"/>
        <v>15000</v>
      </c>
      <c r="P278" s="59"/>
      <c r="Q278" s="59">
        <f t="shared" si="39"/>
        <v>0</v>
      </c>
      <c r="R278" s="59">
        <f t="shared" si="40"/>
        <v>0</v>
      </c>
      <c r="S278" s="13"/>
      <c r="T278" s="13"/>
      <c r="U278" s="13"/>
      <c r="V278" s="40"/>
      <c r="W278" s="13"/>
    </row>
    <row r="279" spans="1:23" ht="18.75" customHeight="1" x14ac:dyDescent="0.35">
      <c r="A279" s="14">
        <v>290</v>
      </c>
      <c r="B279" s="57" t="s">
        <v>753</v>
      </c>
      <c r="C279" s="57" t="s">
        <v>780</v>
      </c>
      <c r="D279" s="57" t="s">
        <v>800</v>
      </c>
      <c r="E279" s="57" t="s">
        <v>810</v>
      </c>
      <c r="F279" s="57" t="s">
        <v>808</v>
      </c>
      <c r="G279" s="62" t="s">
        <v>29</v>
      </c>
      <c r="H279" s="58">
        <v>0.8</v>
      </c>
      <c r="I279" s="107" t="s">
        <v>1265</v>
      </c>
      <c r="J279" s="57" t="s">
        <v>89</v>
      </c>
      <c r="K279" s="57" t="s">
        <v>51</v>
      </c>
      <c r="L279" s="38">
        <v>2</v>
      </c>
      <c r="M279" s="59">
        <f t="shared" si="38"/>
        <v>2000</v>
      </c>
      <c r="N279" s="59">
        <f t="shared" si="33"/>
        <v>4000</v>
      </c>
      <c r="O279" s="60">
        <f t="shared" si="37"/>
        <v>4000</v>
      </c>
      <c r="P279" s="59"/>
      <c r="Q279" s="59">
        <f t="shared" si="39"/>
        <v>0</v>
      </c>
      <c r="R279" s="59">
        <f t="shared" si="40"/>
        <v>0</v>
      </c>
      <c r="S279" s="13"/>
      <c r="T279" s="13"/>
      <c r="U279" s="13"/>
      <c r="V279" s="40"/>
      <c r="W279" s="13"/>
    </row>
    <row r="280" spans="1:23" s="1" customFormat="1" ht="18.75" customHeight="1" x14ac:dyDescent="0.35">
      <c r="A280" s="14">
        <v>291</v>
      </c>
      <c r="B280" s="57" t="s">
        <v>753</v>
      </c>
      <c r="C280" s="57" t="s">
        <v>811</v>
      </c>
      <c r="D280" s="57" t="s">
        <v>422</v>
      </c>
      <c r="E280" s="57" t="s">
        <v>812</v>
      </c>
      <c r="F280" s="57" t="s">
        <v>781</v>
      </c>
      <c r="G280" s="62" t="s">
        <v>29</v>
      </c>
      <c r="H280" s="58">
        <v>3.6</v>
      </c>
      <c r="I280" s="107" t="s">
        <v>1264</v>
      </c>
      <c r="J280" s="57" t="s">
        <v>89</v>
      </c>
      <c r="K280" s="57" t="s">
        <v>25</v>
      </c>
      <c r="L280" s="63">
        <v>4</v>
      </c>
      <c r="M280" s="59">
        <f t="shared" si="38"/>
        <v>9000</v>
      </c>
      <c r="N280" s="59">
        <f t="shared" si="33"/>
        <v>36000</v>
      </c>
      <c r="O280" s="60">
        <f t="shared" si="37"/>
        <v>36000</v>
      </c>
      <c r="P280" s="64"/>
      <c r="Q280" s="64">
        <f t="shared" si="39"/>
        <v>0</v>
      </c>
      <c r="R280" s="64">
        <f t="shared" si="40"/>
        <v>0</v>
      </c>
      <c r="S280" s="13"/>
      <c r="T280" s="13"/>
      <c r="U280" s="13"/>
      <c r="V280" s="13"/>
      <c r="W280" s="13"/>
    </row>
    <row r="281" spans="1:23" ht="18.75" customHeight="1" x14ac:dyDescent="0.35">
      <c r="A281" s="14">
        <v>292</v>
      </c>
      <c r="B281" s="65" t="s">
        <v>813</v>
      </c>
      <c r="C281" s="65" t="s">
        <v>814</v>
      </c>
      <c r="D281" s="65" t="s">
        <v>815</v>
      </c>
      <c r="E281" s="65" t="s">
        <v>49</v>
      </c>
      <c r="F281" s="65" t="s">
        <v>816</v>
      </c>
      <c r="G281" s="65" t="s">
        <v>23</v>
      </c>
      <c r="H281" s="66">
        <v>8.8000000000000007</v>
      </c>
      <c r="I281" s="106" t="s">
        <v>1263</v>
      </c>
      <c r="J281" s="67" t="s">
        <v>30</v>
      </c>
      <c r="K281" s="67" t="s">
        <v>51</v>
      </c>
      <c r="L281" s="68">
        <v>8</v>
      </c>
      <c r="M281" s="69">
        <f t="shared" si="38"/>
        <v>22000</v>
      </c>
      <c r="N281" s="69">
        <f t="shared" si="33"/>
        <v>176000</v>
      </c>
      <c r="O281" s="69">
        <f t="shared" ref="O281:O292" si="41">M281*2</f>
        <v>44000</v>
      </c>
      <c r="P281" s="69">
        <f>M281*6*0.8</f>
        <v>105600</v>
      </c>
      <c r="Q281" s="69">
        <f t="shared" si="39"/>
        <v>1508.5714285714287</v>
      </c>
      <c r="R281" s="69">
        <f t="shared" ref="R281:R312" si="42">Q281*4</f>
        <v>6034.2857142857147</v>
      </c>
      <c r="S281" s="13"/>
      <c r="T281" s="13"/>
      <c r="U281" s="13"/>
      <c r="V281" s="40"/>
      <c r="W281" s="13"/>
    </row>
    <row r="282" spans="1:23" ht="18.75" customHeight="1" x14ac:dyDescent="0.35">
      <c r="A282" s="14">
        <v>293</v>
      </c>
      <c r="B282" s="65" t="s">
        <v>813</v>
      </c>
      <c r="C282" s="65" t="s">
        <v>817</v>
      </c>
      <c r="D282" s="65" t="s">
        <v>818</v>
      </c>
      <c r="E282" s="65" t="s">
        <v>49</v>
      </c>
      <c r="F282" s="65" t="s">
        <v>819</v>
      </c>
      <c r="G282" s="65" t="s">
        <v>23</v>
      </c>
      <c r="H282" s="66">
        <v>16.600000000000001</v>
      </c>
      <c r="I282" s="106" t="s">
        <v>1262</v>
      </c>
      <c r="J282" s="67" t="s">
        <v>30</v>
      </c>
      <c r="K282" s="67" t="s">
        <v>51</v>
      </c>
      <c r="L282" s="68">
        <v>8</v>
      </c>
      <c r="M282" s="69">
        <f t="shared" si="38"/>
        <v>41500</v>
      </c>
      <c r="N282" s="69">
        <f t="shared" si="33"/>
        <v>332000</v>
      </c>
      <c r="O282" s="69">
        <f t="shared" si="41"/>
        <v>83000</v>
      </c>
      <c r="P282" s="69">
        <f>M282*6*0.8</f>
        <v>199200</v>
      </c>
      <c r="Q282" s="69">
        <f t="shared" si="39"/>
        <v>2845.7142857142858</v>
      </c>
      <c r="R282" s="69">
        <f t="shared" si="42"/>
        <v>11382.857142857143</v>
      </c>
      <c r="S282" s="13"/>
      <c r="T282" s="13"/>
      <c r="U282" s="13"/>
      <c r="V282" s="40"/>
      <c r="W282" s="13"/>
    </row>
    <row r="283" spans="1:23" ht="18.75" customHeight="1" x14ac:dyDescent="0.35">
      <c r="A283" s="14">
        <v>294</v>
      </c>
      <c r="B283" s="65" t="s">
        <v>813</v>
      </c>
      <c r="C283" s="65" t="s">
        <v>820</v>
      </c>
      <c r="D283" s="65" t="s">
        <v>821</v>
      </c>
      <c r="E283" s="65" t="s">
        <v>49</v>
      </c>
      <c r="F283" s="65" t="s">
        <v>822</v>
      </c>
      <c r="G283" s="65" t="s">
        <v>23</v>
      </c>
      <c r="H283" s="66">
        <v>4.7</v>
      </c>
      <c r="I283" s="106" t="s">
        <v>1261</v>
      </c>
      <c r="J283" s="67" t="s">
        <v>30</v>
      </c>
      <c r="K283" s="67" t="s">
        <v>51</v>
      </c>
      <c r="L283" s="68">
        <v>10</v>
      </c>
      <c r="M283" s="69">
        <f t="shared" si="38"/>
        <v>11750</v>
      </c>
      <c r="N283" s="69">
        <f t="shared" si="33"/>
        <v>117500</v>
      </c>
      <c r="O283" s="69">
        <f t="shared" si="41"/>
        <v>23500</v>
      </c>
      <c r="P283" s="69">
        <f>M283*8*0.8</f>
        <v>75200</v>
      </c>
      <c r="Q283" s="69">
        <f t="shared" si="39"/>
        <v>1074.2857142857142</v>
      </c>
      <c r="R283" s="69">
        <f t="shared" si="42"/>
        <v>4297.1428571428569</v>
      </c>
      <c r="S283" s="13"/>
      <c r="T283" s="13"/>
      <c r="U283" s="13"/>
      <c r="V283" s="40"/>
      <c r="W283" s="13"/>
    </row>
    <row r="284" spans="1:23" ht="18.75" customHeight="1" x14ac:dyDescent="0.35">
      <c r="A284" s="14">
        <v>295</v>
      </c>
      <c r="B284" s="65" t="s">
        <v>813</v>
      </c>
      <c r="C284" s="65" t="s">
        <v>823</v>
      </c>
      <c r="D284" s="65" t="s">
        <v>821</v>
      </c>
      <c r="E284" s="20" t="s">
        <v>57</v>
      </c>
      <c r="F284" s="65" t="s">
        <v>824</v>
      </c>
      <c r="G284" s="65" t="s">
        <v>23</v>
      </c>
      <c r="H284" s="66">
        <v>17.8</v>
      </c>
      <c r="I284" s="106" t="s">
        <v>1260</v>
      </c>
      <c r="J284" s="67" t="s">
        <v>30</v>
      </c>
      <c r="K284" s="67" t="s">
        <v>51</v>
      </c>
      <c r="L284" s="68">
        <v>10</v>
      </c>
      <c r="M284" s="21">
        <f t="shared" si="38"/>
        <v>44500</v>
      </c>
      <c r="N284" s="21">
        <f t="shared" si="33"/>
        <v>445000</v>
      </c>
      <c r="O284" s="21">
        <f t="shared" si="41"/>
        <v>89000</v>
      </c>
      <c r="P284" s="21">
        <f>M284*8*0.8</f>
        <v>284800</v>
      </c>
      <c r="Q284" s="21">
        <f t="shared" si="39"/>
        <v>4068.5714285714284</v>
      </c>
      <c r="R284" s="21">
        <f t="shared" si="42"/>
        <v>16274.285714285714</v>
      </c>
      <c r="S284" s="13"/>
      <c r="T284" s="13"/>
      <c r="U284" s="13"/>
      <c r="V284" s="40"/>
      <c r="W284" s="13"/>
    </row>
    <row r="285" spans="1:23" ht="18.75" customHeight="1" x14ac:dyDescent="0.35">
      <c r="A285" s="14">
        <v>296</v>
      </c>
      <c r="B285" s="65" t="s">
        <v>813</v>
      </c>
      <c r="C285" s="65" t="s">
        <v>825</v>
      </c>
      <c r="D285" s="65" t="s">
        <v>826</v>
      </c>
      <c r="E285" s="20" t="s">
        <v>57</v>
      </c>
      <c r="F285" s="65" t="s">
        <v>824</v>
      </c>
      <c r="G285" s="65" t="s">
        <v>23</v>
      </c>
      <c r="H285" s="66">
        <v>4.2</v>
      </c>
      <c r="I285" s="106" t="s">
        <v>1259</v>
      </c>
      <c r="J285" s="67" t="s">
        <v>30</v>
      </c>
      <c r="K285" s="67" t="s">
        <v>51</v>
      </c>
      <c r="L285" s="68">
        <v>12</v>
      </c>
      <c r="M285" s="21">
        <f t="shared" si="38"/>
        <v>10500</v>
      </c>
      <c r="N285" s="21">
        <f t="shared" si="33"/>
        <v>126000</v>
      </c>
      <c r="O285" s="21">
        <f t="shared" si="41"/>
        <v>21000</v>
      </c>
      <c r="P285" s="21">
        <f>M285*8*0.8</f>
        <v>67200</v>
      </c>
      <c r="Q285" s="21">
        <f t="shared" si="39"/>
        <v>960</v>
      </c>
      <c r="R285" s="21">
        <f t="shared" si="42"/>
        <v>3840</v>
      </c>
      <c r="S285" s="13"/>
      <c r="T285" s="13"/>
      <c r="U285" s="13"/>
      <c r="V285" s="40"/>
      <c r="W285" s="13"/>
    </row>
    <row r="286" spans="1:23" ht="18.75" customHeight="1" x14ac:dyDescent="0.35">
      <c r="A286" s="14">
        <v>297</v>
      </c>
      <c r="B286" s="65" t="s">
        <v>813</v>
      </c>
      <c r="C286" s="65" t="s">
        <v>827</v>
      </c>
      <c r="D286" s="65" t="s">
        <v>828</v>
      </c>
      <c r="E286" s="20" t="s">
        <v>57</v>
      </c>
      <c r="F286" s="65" t="s">
        <v>819</v>
      </c>
      <c r="G286" s="65" t="s">
        <v>23</v>
      </c>
      <c r="H286" s="66">
        <v>5.2</v>
      </c>
      <c r="I286" s="106" t="s">
        <v>1258</v>
      </c>
      <c r="J286" s="67" t="s">
        <v>30</v>
      </c>
      <c r="K286" s="67" t="s">
        <v>51</v>
      </c>
      <c r="L286" s="68">
        <v>12</v>
      </c>
      <c r="M286" s="21">
        <f t="shared" si="38"/>
        <v>13000</v>
      </c>
      <c r="N286" s="21">
        <f t="shared" si="33"/>
        <v>156000</v>
      </c>
      <c r="O286" s="21">
        <f t="shared" si="41"/>
        <v>26000</v>
      </c>
      <c r="P286" s="21">
        <f>M286*8*0.8</f>
        <v>83200</v>
      </c>
      <c r="Q286" s="21">
        <f t="shared" si="39"/>
        <v>1188.5714285714287</v>
      </c>
      <c r="R286" s="21">
        <f t="shared" si="42"/>
        <v>4754.2857142857147</v>
      </c>
      <c r="S286" s="13"/>
      <c r="T286" s="13"/>
      <c r="U286" s="13"/>
      <c r="V286" s="40"/>
      <c r="W286" s="13"/>
    </row>
    <row r="287" spans="1:23" ht="18.75" customHeight="1" x14ac:dyDescent="0.35">
      <c r="A287" s="14">
        <v>298</v>
      </c>
      <c r="B287" s="65" t="s">
        <v>813</v>
      </c>
      <c r="C287" s="65" t="s">
        <v>829</v>
      </c>
      <c r="D287" s="65" t="s">
        <v>830</v>
      </c>
      <c r="E287" s="65" t="s">
        <v>831</v>
      </c>
      <c r="F287" s="65" t="s">
        <v>22</v>
      </c>
      <c r="G287" s="65" t="s">
        <v>23</v>
      </c>
      <c r="H287" s="66">
        <v>6.9</v>
      </c>
      <c r="I287" s="106" t="s">
        <v>1257</v>
      </c>
      <c r="J287" s="67" t="s">
        <v>30</v>
      </c>
      <c r="K287" s="67" t="s">
        <v>51</v>
      </c>
      <c r="L287" s="68">
        <v>10</v>
      </c>
      <c r="M287" s="69">
        <f t="shared" si="38"/>
        <v>17250</v>
      </c>
      <c r="N287" s="69">
        <f t="shared" si="33"/>
        <v>172500</v>
      </c>
      <c r="O287" s="69">
        <f t="shared" si="41"/>
        <v>34500</v>
      </c>
      <c r="P287" s="69">
        <f>M287*8*0.8</f>
        <v>110400</v>
      </c>
      <c r="Q287" s="69">
        <f t="shared" si="39"/>
        <v>1577.1428571428571</v>
      </c>
      <c r="R287" s="69">
        <f t="shared" si="42"/>
        <v>6308.5714285714284</v>
      </c>
      <c r="S287" s="13"/>
      <c r="T287" s="13"/>
      <c r="U287" s="13"/>
      <c r="V287" s="40"/>
      <c r="W287" s="13"/>
    </row>
    <row r="288" spans="1:23" ht="18.75" customHeight="1" x14ac:dyDescent="0.35">
      <c r="A288" s="14">
        <v>299</v>
      </c>
      <c r="B288" s="65" t="s">
        <v>813</v>
      </c>
      <c r="C288" s="65" t="s">
        <v>832</v>
      </c>
      <c r="D288" s="65" t="s">
        <v>826</v>
      </c>
      <c r="E288" s="65" t="s">
        <v>57</v>
      </c>
      <c r="F288" s="65" t="s">
        <v>833</v>
      </c>
      <c r="G288" s="65" t="s">
        <v>23</v>
      </c>
      <c r="H288" s="66">
        <v>27.4</v>
      </c>
      <c r="I288" s="106" t="s">
        <v>1256</v>
      </c>
      <c r="J288" s="67" t="s">
        <v>30</v>
      </c>
      <c r="K288" s="67" t="s">
        <v>51</v>
      </c>
      <c r="L288" s="68">
        <v>9</v>
      </c>
      <c r="M288" s="69">
        <f t="shared" si="38"/>
        <v>68500</v>
      </c>
      <c r="N288" s="69">
        <f t="shared" si="33"/>
        <v>616500</v>
      </c>
      <c r="O288" s="69">
        <f t="shared" si="41"/>
        <v>137000</v>
      </c>
      <c r="P288" s="69">
        <f>M288*7*0.8</f>
        <v>383600</v>
      </c>
      <c r="Q288" s="69">
        <f t="shared" si="39"/>
        <v>5480</v>
      </c>
      <c r="R288" s="69">
        <f t="shared" si="42"/>
        <v>21920</v>
      </c>
      <c r="S288" s="13"/>
      <c r="T288" s="13"/>
      <c r="U288" s="13"/>
      <c r="V288" s="40"/>
      <c r="W288" s="13"/>
    </row>
    <row r="289" spans="1:23" ht="18.75" customHeight="1" x14ac:dyDescent="0.35">
      <c r="A289" s="14">
        <v>300</v>
      </c>
      <c r="B289" s="65" t="s">
        <v>813</v>
      </c>
      <c r="C289" s="65" t="s">
        <v>834</v>
      </c>
      <c r="D289" s="65" t="s">
        <v>826</v>
      </c>
      <c r="E289" s="65" t="s">
        <v>21</v>
      </c>
      <c r="F289" s="65" t="s">
        <v>835</v>
      </c>
      <c r="G289" s="65" t="s">
        <v>23</v>
      </c>
      <c r="H289" s="66">
        <v>19.600000000000001</v>
      </c>
      <c r="I289" s="106" t="s">
        <v>1255</v>
      </c>
      <c r="J289" s="67" t="s">
        <v>30</v>
      </c>
      <c r="K289" s="67" t="s">
        <v>35</v>
      </c>
      <c r="L289" s="68">
        <v>9</v>
      </c>
      <c r="M289" s="69">
        <f t="shared" si="38"/>
        <v>49000</v>
      </c>
      <c r="N289" s="69">
        <f t="shared" si="33"/>
        <v>441000</v>
      </c>
      <c r="O289" s="69">
        <f t="shared" si="41"/>
        <v>98000</v>
      </c>
      <c r="P289" s="69">
        <f>M289*7*0.8</f>
        <v>274400</v>
      </c>
      <c r="Q289" s="69">
        <f t="shared" si="39"/>
        <v>3920</v>
      </c>
      <c r="R289" s="69">
        <f t="shared" si="42"/>
        <v>15680</v>
      </c>
      <c r="S289" s="13"/>
      <c r="T289" s="13"/>
      <c r="U289" s="13"/>
      <c r="V289" s="40"/>
      <c r="W289" s="13"/>
    </row>
    <row r="290" spans="1:23" ht="18.75" customHeight="1" x14ac:dyDescent="0.35">
      <c r="A290" s="14">
        <v>301</v>
      </c>
      <c r="B290" s="65" t="s">
        <v>813</v>
      </c>
      <c r="C290" s="65" t="s">
        <v>836</v>
      </c>
      <c r="D290" s="65" t="s">
        <v>837</v>
      </c>
      <c r="E290" s="65" t="s">
        <v>49</v>
      </c>
      <c r="F290" s="65" t="s">
        <v>822</v>
      </c>
      <c r="G290" s="65" t="s">
        <v>23</v>
      </c>
      <c r="H290" s="66">
        <v>13.3</v>
      </c>
      <c r="I290" s="106" t="s">
        <v>1254</v>
      </c>
      <c r="J290" s="67" t="s">
        <v>30</v>
      </c>
      <c r="K290" s="67" t="s">
        <v>51</v>
      </c>
      <c r="L290" s="68">
        <v>8</v>
      </c>
      <c r="M290" s="69">
        <f t="shared" si="38"/>
        <v>33250</v>
      </c>
      <c r="N290" s="69">
        <f t="shared" si="33"/>
        <v>266000</v>
      </c>
      <c r="O290" s="69">
        <f t="shared" si="41"/>
        <v>66500</v>
      </c>
      <c r="P290" s="69">
        <f>M290*6*0.8</f>
        <v>159600</v>
      </c>
      <c r="Q290" s="69">
        <f t="shared" si="39"/>
        <v>2280</v>
      </c>
      <c r="R290" s="69">
        <f t="shared" si="42"/>
        <v>9120</v>
      </c>
      <c r="S290" s="13"/>
      <c r="T290" s="13"/>
      <c r="U290" s="13"/>
      <c r="V290" s="40"/>
      <c r="W290" s="13"/>
    </row>
    <row r="291" spans="1:23" ht="18.75" customHeight="1" x14ac:dyDescent="0.35">
      <c r="A291" s="14">
        <v>302</v>
      </c>
      <c r="B291" s="65" t="s">
        <v>813</v>
      </c>
      <c r="C291" s="65" t="s">
        <v>838</v>
      </c>
      <c r="D291" s="65" t="s">
        <v>839</v>
      </c>
      <c r="E291" s="65" t="s">
        <v>49</v>
      </c>
      <c r="F291" s="65" t="s">
        <v>822</v>
      </c>
      <c r="G291" s="65" t="s">
        <v>23</v>
      </c>
      <c r="H291" s="70">
        <v>4</v>
      </c>
      <c r="I291" s="106" t="s">
        <v>1253</v>
      </c>
      <c r="J291" s="67" t="s">
        <v>30</v>
      </c>
      <c r="K291" s="67" t="s">
        <v>51</v>
      </c>
      <c r="L291" s="68">
        <v>9</v>
      </c>
      <c r="M291" s="69">
        <f t="shared" si="38"/>
        <v>10000</v>
      </c>
      <c r="N291" s="69">
        <f t="shared" si="33"/>
        <v>90000</v>
      </c>
      <c r="O291" s="69">
        <f t="shared" si="41"/>
        <v>20000</v>
      </c>
      <c r="P291" s="69">
        <f>M291*7*0.8</f>
        <v>56000</v>
      </c>
      <c r="Q291" s="69">
        <f t="shared" si="39"/>
        <v>800</v>
      </c>
      <c r="R291" s="69">
        <f t="shared" si="42"/>
        <v>3200</v>
      </c>
      <c r="S291" s="13"/>
      <c r="T291" s="13"/>
      <c r="U291" s="13"/>
      <c r="V291" s="40"/>
      <c r="W291" s="13"/>
    </row>
    <row r="292" spans="1:23" ht="18.75" customHeight="1" x14ac:dyDescent="0.35">
      <c r="A292" s="14">
        <v>303</v>
      </c>
      <c r="B292" s="65" t="s">
        <v>813</v>
      </c>
      <c r="C292" s="65" t="s">
        <v>840</v>
      </c>
      <c r="D292" s="65" t="s">
        <v>841</v>
      </c>
      <c r="E292" s="20" t="s">
        <v>57</v>
      </c>
      <c r="F292" s="65" t="s">
        <v>824</v>
      </c>
      <c r="G292" s="65" t="s">
        <v>23</v>
      </c>
      <c r="H292" s="66">
        <v>24.9</v>
      </c>
      <c r="I292" s="106" t="s">
        <v>1252</v>
      </c>
      <c r="J292" s="67" t="s">
        <v>30</v>
      </c>
      <c r="K292" s="67" t="s">
        <v>51</v>
      </c>
      <c r="L292" s="68">
        <v>8</v>
      </c>
      <c r="M292" s="21">
        <f t="shared" si="38"/>
        <v>62250</v>
      </c>
      <c r="N292" s="21">
        <f t="shared" si="33"/>
        <v>498000</v>
      </c>
      <c r="O292" s="21">
        <f t="shared" si="41"/>
        <v>124500</v>
      </c>
      <c r="P292" s="21">
        <f>M292*6*0.8</f>
        <v>298800</v>
      </c>
      <c r="Q292" s="21">
        <f t="shared" si="39"/>
        <v>4268.5714285714284</v>
      </c>
      <c r="R292" s="21">
        <f t="shared" si="42"/>
        <v>17074.285714285714</v>
      </c>
      <c r="S292" s="13"/>
      <c r="T292" s="13"/>
      <c r="U292" s="13"/>
      <c r="V292" s="40"/>
      <c r="W292" s="13"/>
    </row>
    <row r="293" spans="1:23" ht="18.75" customHeight="1" x14ac:dyDescent="0.35">
      <c r="A293" s="14">
        <v>304</v>
      </c>
      <c r="B293" s="65" t="s">
        <v>813</v>
      </c>
      <c r="C293" s="65" t="s">
        <v>842</v>
      </c>
      <c r="D293" s="65" t="s">
        <v>841</v>
      </c>
      <c r="E293" s="20" t="s">
        <v>49</v>
      </c>
      <c r="F293" s="65" t="s">
        <v>843</v>
      </c>
      <c r="G293" s="65" t="s">
        <v>23</v>
      </c>
      <c r="H293" s="66">
        <v>2.8</v>
      </c>
      <c r="I293" s="106" t="s">
        <v>1251</v>
      </c>
      <c r="J293" s="67" t="s">
        <v>30</v>
      </c>
      <c r="K293" s="67" t="s">
        <v>51</v>
      </c>
      <c r="L293" s="68">
        <v>9</v>
      </c>
      <c r="M293" s="21">
        <f t="shared" si="38"/>
        <v>7000</v>
      </c>
      <c r="N293" s="21">
        <f t="shared" si="33"/>
        <v>63000</v>
      </c>
      <c r="O293" s="21">
        <f>M293*1</f>
        <v>7000</v>
      </c>
      <c r="P293" s="21">
        <f>M293*8*0.8</f>
        <v>44800</v>
      </c>
      <c r="Q293" s="21">
        <f t="shared" si="39"/>
        <v>640</v>
      </c>
      <c r="R293" s="21">
        <f t="shared" si="42"/>
        <v>2560</v>
      </c>
      <c r="S293" s="13"/>
      <c r="T293" s="13"/>
      <c r="U293" s="13"/>
      <c r="V293" s="40"/>
      <c r="W293" s="13"/>
    </row>
    <row r="294" spans="1:23" ht="18.75" customHeight="1" x14ac:dyDescent="0.35">
      <c r="A294" s="14">
        <v>305</v>
      </c>
      <c r="B294" s="65" t="s">
        <v>813</v>
      </c>
      <c r="C294" s="65" t="s">
        <v>844</v>
      </c>
      <c r="D294" s="65" t="s">
        <v>826</v>
      </c>
      <c r="E294" s="65" t="s">
        <v>33</v>
      </c>
      <c r="F294" s="65" t="s">
        <v>822</v>
      </c>
      <c r="G294" s="65" t="s">
        <v>23</v>
      </c>
      <c r="H294" s="66">
        <v>3.4</v>
      </c>
      <c r="I294" s="106" t="s">
        <v>1250</v>
      </c>
      <c r="J294" s="67" t="s">
        <v>30</v>
      </c>
      <c r="K294" s="67" t="s">
        <v>35</v>
      </c>
      <c r="L294" s="68">
        <v>10</v>
      </c>
      <c r="M294" s="69">
        <f t="shared" si="38"/>
        <v>8500</v>
      </c>
      <c r="N294" s="69">
        <f t="shared" si="33"/>
        <v>85000</v>
      </c>
      <c r="O294" s="69">
        <f>M294*2</f>
        <v>17000</v>
      </c>
      <c r="P294" s="69">
        <f>M294*8*0.8</f>
        <v>54400</v>
      </c>
      <c r="Q294" s="69">
        <f t="shared" si="39"/>
        <v>777.14285714285711</v>
      </c>
      <c r="R294" s="69">
        <f t="shared" si="42"/>
        <v>3108.5714285714284</v>
      </c>
      <c r="S294" s="13"/>
      <c r="T294" s="13"/>
      <c r="U294" s="13"/>
      <c r="V294" s="40"/>
      <c r="W294" s="13"/>
    </row>
    <row r="295" spans="1:23" ht="18.75" customHeight="1" x14ac:dyDescent="0.35">
      <c r="A295" s="14">
        <v>306</v>
      </c>
      <c r="B295" s="65" t="s">
        <v>813</v>
      </c>
      <c r="C295" s="65" t="s">
        <v>845</v>
      </c>
      <c r="D295" s="65" t="s">
        <v>846</v>
      </c>
      <c r="E295" s="65" t="s">
        <v>782</v>
      </c>
      <c r="F295" s="65" t="s">
        <v>847</v>
      </c>
      <c r="G295" s="65" t="s">
        <v>23</v>
      </c>
      <c r="H295" s="66">
        <v>14.4</v>
      </c>
      <c r="I295" s="106" t="s">
        <v>1249</v>
      </c>
      <c r="J295" s="67" t="s">
        <v>30</v>
      </c>
      <c r="K295" s="67" t="s">
        <v>35</v>
      </c>
      <c r="L295" s="68">
        <v>3</v>
      </c>
      <c r="M295" s="69">
        <f t="shared" si="38"/>
        <v>36000</v>
      </c>
      <c r="N295" s="69">
        <f t="shared" si="33"/>
        <v>108000</v>
      </c>
      <c r="O295" s="69">
        <f>M295*1</f>
        <v>36000</v>
      </c>
      <c r="P295" s="69">
        <f>M295*2*0.8</f>
        <v>57600</v>
      </c>
      <c r="Q295" s="69">
        <f t="shared" si="39"/>
        <v>822.85714285714289</v>
      </c>
      <c r="R295" s="69">
        <f t="shared" si="42"/>
        <v>3291.4285714285716</v>
      </c>
      <c r="S295" s="13"/>
      <c r="T295" s="13"/>
      <c r="U295" s="13"/>
      <c r="V295" s="40"/>
      <c r="W295" s="13"/>
    </row>
    <row r="296" spans="1:23" ht="18.75" customHeight="1" x14ac:dyDescent="0.35">
      <c r="A296" s="14">
        <v>307</v>
      </c>
      <c r="B296" s="65" t="s">
        <v>813</v>
      </c>
      <c r="C296" s="65" t="s">
        <v>848</v>
      </c>
      <c r="D296" s="65" t="s">
        <v>828</v>
      </c>
      <c r="E296" s="65" t="s">
        <v>33</v>
      </c>
      <c r="F296" s="65" t="s">
        <v>849</v>
      </c>
      <c r="G296" s="65" t="s">
        <v>29</v>
      </c>
      <c r="H296" s="66">
        <v>0.4</v>
      </c>
      <c r="I296" s="106" t="s">
        <v>1248</v>
      </c>
      <c r="J296" s="67" t="s">
        <v>89</v>
      </c>
      <c r="K296" s="67" t="s">
        <v>35</v>
      </c>
      <c r="L296" s="68">
        <v>10</v>
      </c>
      <c r="M296" s="71">
        <f t="shared" si="38"/>
        <v>1000</v>
      </c>
      <c r="N296" s="71">
        <f t="shared" si="33"/>
        <v>10000</v>
      </c>
      <c r="O296" s="71">
        <f>M296*L296</f>
        <v>10000</v>
      </c>
      <c r="P296" s="71">
        <v>0</v>
      </c>
      <c r="Q296" s="71">
        <f t="shared" si="39"/>
        <v>0</v>
      </c>
      <c r="R296" s="71">
        <f t="shared" si="42"/>
        <v>0</v>
      </c>
      <c r="S296" s="13"/>
      <c r="T296" s="13"/>
      <c r="U296" s="13"/>
      <c r="V296" s="40"/>
      <c r="W296" s="13"/>
    </row>
    <row r="297" spans="1:23" ht="18.75" customHeight="1" x14ac:dyDescent="0.35">
      <c r="A297" s="14">
        <v>308</v>
      </c>
      <c r="B297" s="65" t="s">
        <v>813</v>
      </c>
      <c r="C297" s="65" t="s">
        <v>850</v>
      </c>
      <c r="D297" s="65" t="s">
        <v>851</v>
      </c>
      <c r="E297" s="65" t="s">
        <v>644</v>
      </c>
      <c r="F297" s="65" t="s">
        <v>852</v>
      </c>
      <c r="G297" s="65" t="s">
        <v>84</v>
      </c>
      <c r="H297" s="66">
        <v>0.05</v>
      </c>
      <c r="I297" s="105" t="s">
        <v>1247</v>
      </c>
      <c r="J297" s="67" t="s">
        <v>89</v>
      </c>
      <c r="K297" s="67" t="s">
        <v>35</v>
      </c>
      <c r="L297" s="68">
        <v>5</v>
      </c>
      <c r="M297" s="17">
        <f>H297*10000</f>
        <v>500</v>
      </c>
      <c r="N297" s="17">
        <f t="shared" si="33"/>
        <v>2500</v>
      </c>
      <c r="O297" s="17">
        <f>M297*L297</f>
        <v>2500</v>
      </c>
      <c r="P297" s="71">
        <v>0</v>
      </c>
      <c r="Q297" s="71">
        <f t="shared" si="39"/>
        <v>0</v>
      </c>
      <c r="R297" s="71">
        <f t="shared" si="42"/>
        <v>0</v>
      </c>
      <c r="S297" s="13"/>
      <c r="T297" s="13"/>
      <c r="U297" s="13"/>
      <c r="V297" s="40"/>
      <c r="W297" s="13"/>
    </row>
    <row r="298" spans="1:23" ht="18.75" customHeight="1" x14ac:dyDescent="0.35">
      <c r="A298" s="14">
        <v>309</v>
      </c>
      <c r="B298" s="65" t="s">
        <v>813</v>
      </c>
      <c r="C298" s="65" t="s">
        <v>853</v>
      </c>
      <c r="D298" s="65" t="s">
        <v>854</v>
      </c>
      <c r="E298" s="65" t="s">
        <v>644</v>
      </c>
      <c r="F298" s="65" t="s">
        <v>852</v>
      </c>
      <c r="G298" s="65" t="s">
        <v>84</v>
      </c>
      <c r="H298" s="66">
        <v>0.05</v>
      </c>
      <c r="I298" s="105" t="s">
        <v>1246</v>
      </c>
      <c r="J298" s="67" t="s">
        <v>89</v>
      </c>
      <c r="K298" s="67" t="s">
        <v>35</v>
      </c>
      <c r="L298" s="68">
        <v>5</v>
      </c>
      <c r="M298" s="17">
        <f>H298*10000</f>
        <v>500</v>
      </c>
      <c r="N298" s="17">
        <f t="shared" si="33"/>
        <v>2500</v>
      </c>
      <c r="O298" s="17">
        <f>M298*L298</f>
        <v>2500</v>
      </c>
      <c r="P298" s="71">
        <v>0</v>
      </c>
      <c r="Q298" s="71">
        <f t="shared" si="39"/>
        <v>0</v>
      </c>
      <c r="R298" s="71">
        <f t="shared" si="42"/>
        <v>0</v>
      </c>
      <c r="S298" s="13"/>
      <c r="T298" s="13"/>
      <c r="U298" s="13"/>
      <c r="V298" s="40"/>
      <c r="W298" s="13"/>
    </row>
    <row r="299" spans="1:23" ht="18.75" customHeight="1" x14ac:dyDescent="0.35">
      <c r="A299" s="14">
        <v>310</v>
      </c>
      <c r="B299" s="65" t="s">
        <v>813</v>
      </c>
      <c r="C299" s="65" t="s">
        <v>855</v>
      </c>
      <c r="D299" s="65" t="s">
        <v>828</v>
      </c>
      <c r="E299" s="65" t="s">
        <v>49</v>
      </c>
      <c r="F299" s="65" t="s">
        <v>856</v>
      </c>
      <c r="G299" s="65" t="s">
        <v>23</v>
      </c>
      <c r="H299" s="66">
        <v>5.0999999999999996</v>
      </c>
      <c r="I299" s="105" t="s">
        <v>1245</v>
      </c>
      <c r="J299" s="67" t="s">
        <v>30</v>
      </c>
      <c r="K299" s="67" t="s">
        <v>51</v>
      </c>
      <c r="L299" s="68">
        <v>10</v>
      </c>
      <c r="M299" s="69">
        <f>H299*10000*0.25</f>
        <v>12750</v>
      </c>
      <c r="N299" s="69">
        <f t="shared" si="33"/>
        <v>127500</v>
      </c>
      <c r="O299" s="69">
        <f>M299*2</f>
        <v>25500</v>
      </c>
      <c r="P299" s="69">
        <f>M299*8*0.8</f>
        <v>81600</v>
      </c>
      <c r="Q299" s="69">
        <f t="shared" si="39"/>
        <v>1165.7142857142858</v>
      </c>
      <c r="R299" s="69">
        <f t="shared" si="42"/>
        <v>4662.8571428571431</v>
      </c>
      <c r="S299" s="13"/>
      <c r="T299" s="13"/>
      <c r="U299" s="13"/>
      <c r="V299" s="40"/>
      <c r="W299" s="13"/>
    </row>
    <row r="300" spans="1:23" ht="18.75" customHeight="1" x14ac:dyDescent="0.35">
      <c r="A300" s="14">
        <v>311</v>
      </c>
      <c r="B300" s="65" t="s">
        <v>813</v>
      </c>
      <c r="C300" s="65" t="s">
        <v>857</v>
      </c>
      <c r="D300" s="65" t="s">
        <v>826</v>
      </c>
      <c r="E300" s="20" t="s">
        <v>57</v>
      </c>
      <c r="F300" s="65" t="s">
        <v>856</v>
      </c>
      <c r="G300" s="65" t="s">
        <v>23</v>
      </c>
      <c r="H300" s="66">
        <v>1.2</v>
      </c>
      <c r="I300" s="105" t="s">
        <v>1244</v>
      </c>
      <c r="J300" s="67" t="s">
        <v>30</v>
      </c>
      <c r="K300" s="67" t="s">
        <v>51</v>
      </c>
      <c r="L300" s="68">
        <v>12</v>
      </c>
      <c r="M300" s="21">
        <f>H300*10000*0.25</f>
        <v>3000</v>
      </c>
      <c r="N300" s="21">
        <f t="shared" si="33"/>
        <v>36000</v>
      </c>
      <c r="O300" s="21">
        <f>M300*2</f>
        <v>6000</v>
      </c>
      <c r="P300" s="21">
        <f>M300*10*0.8</f>
        <v>24000</v>
      </c>
      <c r="Q300" s="21">
        <f t="shared" si="39"/>
        <v>342.85714285714283</v>
      </c>
      <c r="R300" s="21">
        <f t="shared" si="42"/>
        <v>1371.4285714285713</v>
      </c>
      <c r="S300" s="13"/>
      <c r="T300" s="13"/>
      <c r="U300" s="13"/>
      <c r="V300" s="40"/>
      <c r="W300" s="13"/>
    </row>
    <row r="301" spans="1:23" ht="18.75" customHeight="1" x14ac:dyDescent="0.35">
      <c r="A301" s="14">
        <v>312</v>
      </c>
      <c r="B301" s="65" t="s">
        <v>813</v>
      </c>
      <c r="C301" s="65" t="s">
        <v>858</v>
      </c>
      <c r="D301" s="65" t="s">
        <v>854</v>
      </c>
      <c r="E301" s="65" t="s">
        <v>782</v>
      </c>
      <c r="F301" s="65" t="s">
        <v>859</v>
      </c>
      <c r="G301" s="65" t="s">
        <v>113</v>
      </c>
      <c r="H301" s="66">
        <v>2.5</v>
      </c>
      <c r="I301" s="105" t="s">
        <v>1243</v>
      </c>
      <c r="J301" s="67" t="s">
        <v>89</v>
      </c>
      <c r="K301" s="67" t="s">
        <v>35</v>
      </c>
      <c r="L301" s="68">
        <v>5</v>
      </c>
      <c r="M301" s="71">
        <f>H301*10000*0.25</f>
        <v>6250</v>
      </c>
      <c r="N301" s="71">
        <f t="shared" si="33"/>
        <v>31250</v>
      </c>
      <c r="O301" s="71">
        <f>M301*L301</f>
        <v>31250</v>
      </c>
      <c r="P301" s="71">
        <v>0</v>
      </c>
      <c r="Q301" s="71">
        <f t="shared" si="39"/>
        <v>0</v>
      </c>
      <c r="R301" s="71">
        <f t="shared" si="42"/>
        <v>0</v>
      </c>
      <c r="S301" s="13"/>
      <c r="T301" s="13"/>
      <c r="U301" s="13"/>
      <c r="V301" s="40"/>
      <c r="W301" s="13"/>
    </row>
    <row r="302" spans="1:23" ht="18.75" customHeight="1" x14ac:dyDescent="0.35">
      <c r="A302" s="14">
        <v>313</v>
      </c>
      <c r="B302" s="65" t="s">
        <v>813</v>
      </c>
      <c r="C302" s="65" t="s">
        <v>860</v>
      </c>
      <c r="D302" s="65" t="s">
        <v>851</v>
      </c>
      <c r="E302" s="65" t="s">
        <v>644</v>
      </c>
      <c r="F302" s="65" t="s">
        <v>861</v>
      </c>
      <c r="G302" s="65" t="s">
        <v>29</v>
      </c>
      <c r="H302" s="66">
        <v>18.3</v>
      </c>
      <c r="I302" s="105" t="s">
        <v>1242</v>
      </c>
      <c r="J302" s="67" t="s">
        <v>89</v>
      </c>
      <c r="K302" s="67" t="s">
        <v>35</v>
      </c>
      <c r="L302" s="68">
        <v>5</v>
      </c>
      <c r="M302" s="71">
        <f>H302*10000*0.25</f>
        <v>45750</v>
      </c>
      <c r="N302" s="71">
        <f t="shared" si="33"/>
        <v>228750</v>
      </c>
      <c r="O302" s="71">
        <f>M302*L302</f>
        <v>228750</v>
      </c>
      <c r="P302" s="71">
        <v>0</v>
      </c>
      <c r="Q302" s="71">
        <f t="shared" si="39"/>
        <v>0</v>
      </c>
      <c r="R302" s="71">
        <f t="shared" si="42"/>
        <v>0</v>
      </c>
      <c r="S302" s="13"/>
      <c r="T302" s="13"/>
      <c r="U302" s="13"/>
      <c r="V302" s="40"/>
      <c r="W302" s="13"/>
    </row>
    <row r="303" spans="1:23" ht="18.75" customHeight="1" x14ac:dyDescent="0.35">
      <c r="A303" s="14">
        <v>314</v>
      </c>
      <c r="B303" s="65" t="s">
        <v>813</v>
      </c>
      <c r="C303" s="65" t="s">
        <v>862</v>
      </c>
      <c r="D303" s="65" t="s">
        <v>851</v>
      </c>
      <c r="E303" s="65" t="s">
        <v>549</v>
      </c>
      <c r="F303" s="65" t="s">
        <v>822</v>
      </c>
      <c r="G303" s="65" t="s">
        <v>23</v>
      </c>
      <c r="H303" s="66">
        <v>5.4</v>
      </c>
      <c r="I303" s="105" t="s">
        <v>1241</v>
      </c>
      <c r="J303" s="67" t="s">
        <v>30</v>
      </c>
      <c r="K303" s="67" t="s">
        <v>35</v>
      </c>
      <c r="L303" s="68">
        <v>8</v>
      </c>
      <c r="M303" s="69">
        <f>H303*10000*0.25</f>
        <v>13500</v>
      </c>
      <c r="N303" s="69">
        <f t="shared" si="33"/>
        <v>108000</v>
      </c>
      <c r="O303" s="69">
        <f>M303*2</f>
        <v>27000</v>
      </c>
      <c r="P303" s="69">
        <f>M303*6*0.8</f>
        <v>64800</v>
      </c>
      <c r="Q303" s="69">
        <f t="shared" si="39"/>
        <v>925.71428571428567</v>
      </c>
      <c r="R303" s="69">
        <f t="shared" si="42"/>
        <v>3702.8571428571427</v>
      </c>
      <c r="S303" s="13"/>
      <c r="T303" s="13"/>
      <c r="U303" s="13"/>
      <c r="V303" s="40"/>
      <c r="W303" s="13"/>
    </row>
    <row r="304" spans="1:23" ht="18.75" customHeight="1" x14ac:dyDescent="0.35">
      <c r="A304" s="14">
        <v>315</v>
      </c>
      <c r="B304" s="65" t="s">
        <v>813</v>
      </c>
      <c r="C304" s="65" t="s">
        <v>863</v>
      </c>
      <c r="D304" s="65" t="s">
        <v>851</v>
      </c>
      <c r="E304" s="65" t="s">
        <v>644</v>
      </c>
      <c r="F304" s="65" t="s">
        <v>852</v>
      </c>
      <c r="G304" s="65" t="s">
        <v>84</v>
      </c>
      <c r="H304" s="66">
        <v>0.05</v>
      </c>
      <c r="I304" s="105" t="s">
        <v>1240</v>
      </c>
      <c r="J304" s="67" t="s">
        <v>89</v>
      </c>
      <c r="K304" s="67" t="s">
        <v>35</v>
      </c>
      <c r="L304" s="68">
        <v>5</v>
      </c>
      <c r="M304" s="17">
        <f>H304*10000</f>
        <v>500</v>
      </c>
      <c r="N304" s="17">
        <f t="shared" si="33"/>
        <v>2500</v>
      </c>
      <c r="O304" s="17">
        <f>M304*L304</f>
        <v>2500</v>
      </c>
      <c r="P304" s="71">
        <v>0</v>
      </c>
      <c r="Q304" s="71">
        <f t="shared" si="39"/>
        <v>0</v>
      </c>
      <c r="R304" s="71">
        <f t="shared" si="42"/>
        <v>0</v>
      </c>
      <c r="S304" s="13"/>
      <c r="T304" s="13"/>
      <c r="U304" s="13"/>
      <c r="V304" s="40"/>
      <c r="W304" s="13"/>
    </row>
    <row r="305" spans="1:23" ht="18.75" customHeight="1" x14ac:dyDescent="0.35">
      <c r="A305" s="14">
        <v>316</v>
      </c>
      <c r="B305" s="65" t="s">
        <v>813</v>
      </c>
      <c r="C305" s="65" t="s">
        <v>864</v>
      </c>
      <c r="D305" s="65" t="s">
        <v>854</v>
      </c>
      <c r="E305" s="65" t="s">
        <v>782</v>
      </c>
      <c r="F305" s="65" t="s">
        <v>865</v>
      </c>
      <c r="G305" s="65" t="s">
        <v>113</v>
      </c>
      <c r="H305" s="66">
        <v>0.7</v>
      </c>
      <c r="I305" s="106" t="s">
        <v>1239</v>
      </c>
      <c r="J305" s="67" t="s">
        <v>89</v>
      </c>
      <c r="K305" s="67" t="s">
        <v>35</v>
      </c>
      <c r="L305" s="68">
        <v>5</v>
      </c>
      <c r="M305" s="71">
        <f t="shared" ref="M305:M334" si="43">H305*10000*0.25</f>
        <v>1750</v>
      </c>
      <c r="N305" s="71">
        <f t="shared" si="33"/>
        <v>8750</v>
      </c>
      <c r="O305" s="71">
        <f>M305*L305</f>
        <v>8750</v>
      </c>
      <c r="P305" s="71">
        <v>0</v>
      </c>
      <c r="Q305" s="71">
        <f t="shared" si="39"/>
        <v>0</v>
      </c>
      <c r="R305" s="71">
        <f t="shared" si="42"/>
        <v>0</v>
      </c>
      <c r="S305" s="13"/>
      <c r="T305" s="13"/>
      <c r="U305" s="13"/>
      <c r="V305" s="40"/>
      <c r="W305" s="13"/>
    </row>
    <row r="306" spans="1:23" ht="18.75" customHeight="1" x14ac:dyDescent="0.35">
      <c r="A306" s="14">
        <v>317</v>
      </c>
      <c r="B306" s="65" t="s">
        <v>813</v>
      </c>
      <c r="C306" s="65" t="s">
        <v>866</v>
      </c>
      <c r="D306" s="65" t="s">
        <v>854</v>
      </c>
      <c r="E306" s="65" t="s">
        <v>644</v>
      </c>
      <c r="F306" s="65" t="s">
        <v>867</v>
      </c>
      <c r="G306" s="65" t="s">
        <v>29</v>
      </c>
      <c r="H306" s="66">
        <v>0.4</v>
      </c>
      <c r="I306" s="106" t="s">
        <v>1238</v>
      </c>
      <c r="J306" s="67" t="s">
        <v>89</v>
      </c>
      <c r="K306" s="67" t="s">
        <v>25</v>
      </c>
      <c r="L306" s="68">
        <v>5</v>
      </c>
      <c r="M306" s="71">
        <f t="shared" si="43"/>
        <v>1000</v>
      </c>
      <c r="N306" s="71">
        <f t="shared" si="33"/>
        <v>5000</v>
      </c>
      <c r="O306" s="71">
        <f>M306*L306</f>
        <v>5000</v>
      </c>
      <c r="P306" s="71">
        <v>0</v>
      </c>
      <c r="Q306" s="71">
        <f t="shared" si="39"/>
        <v>0</v>
      </c>
      <c r="R306" s="71">
        <f t="shared" si="42"/>
        <v>0</v>
      </c>
      <c r="S306" s="13"/>
      <c r="T306" s="13"/>
      <c r="U306" s="13"/>
      <c r="V306" s="40"/>
      <c r="W306" s="13"/>
    </row>
    <row r="307" spans="1:23" ht="18.75" customHeight="1" x14ac:dyDescent="0.35">
      <c r="A307" s="14">
        <v>318</v>
      </c>
      <c r="B307" s="65" t="s">
        <v>813</v>
      </c>
      <c r="C307" s="65" t="s">
        <v>868</v>
      </c>
      <c r="D307" s="65" t="s">
        <v>841</v>
      </c>
      <c r="E307" s="65" t="s">
        <v>49</v>
      </c>
      <c r="F307" s="65" t="s">
        <v>833</v>
      </c>
      <c r="G307" s="65" t="s">
        <v>23</v>
      </c>
      <c r="H307" s="70">
        <v>4</v>
      </c>
      <c r="I307" s="106" t="s">
        <v>1237</v>
      </c>
      <c r="J307" s="67" t="s">
        <v>30</v>
      </c>
      <c r="K307" s="67" t="s">
        <v>51</v>
      </c>
      <c r="L307" s="68">
        <v>10</v>
      </c>
      <c r="M307" s="69">
        <f t="shared" si="43"/>
        <v>10000</v>
      </c>
      <c r="N307" s="69">
        <f t="shared" si="33"/>
        <v>100000</v>
      </c>
      <c r="O307" s="69">
        <f>M307*2</f>
        <v>20000</v>
      </c>
      <c r="P307" s="69">
        <f>M307*8*0.8</f>
        <v>64000</v>
      </c>
      <c r="Q307" s="69">
        <f t="shared" ref="Q307:Q338" si="44">P307/70</f>
        <v>914.28571428571433</v>
      </c>
      <c r="R307" s="69">
        <f t="shared" si="42"/>
        <v>3657.1428571428573</v>
      </c>
      <c r="S307" s="13"/>
      <c r="T307" s="13"/>
      <c r="U307" s="13"/>
      <c r="V307" s="40"/>
      <c r="W307" s="13"/>
    </row>
    <row r="308" spans="1:23" ht="18.75" customHeight="1" x14ac:dyDescent="0.35">
      <c r="A308" s="14">
        <v>319</v>
      </c>
      <c r="B308" s="65" t="s">
        <v>813</v>
      </c>
      <c r="C308" s="65" t="s">
        <v>868</v>
      </c>
      <c r="D308" s="65" t="s">
        <v>841</v>
      </c>
      <c r="E308" s="65" t="s">
        <v>49</v>
      </c>
      <c r="F308" s="65" t="s">
        <v>833</v>
      </c>
      <c r="G308" s="65" t="s">
        <v>23</v>
      </c>
      <c r="H308" s="66">
        <v>2.5</v>
      </c>
      <c r="I308" s="106" t="s">
        <v>1236</v>
      </c>
      <c r="J308" s="67" t="s">
        <v>30</v>
      </c>
      <c r="K308" s="67" t="s">
        <v>51</v>
      </c>
      <c r="L308" s="68">
        <v>10</v>
      </c>
      <c r="M308" s="69">
        <f t="shared" si="43"/>
        <v>6250</v>
      </c>
      <c r="N308" s="69">
        <f t="shared" si="33"/>
        <v>62500</v>
      </c>
      <c r="O308" s="69">
        <f>M308*2</f>
        <v>12500</v>
      </c>
      <c r="P308" s="69">
        <f>M308*8*0.8</f>
        <v>40000</v>
      </c>
      <c r="Q308" s="69">
        <f t="shared" si="44"/>
        <v>571.42857142857144</v>
      </c>
      <c r="R308" s="69">
        <f t="shared" si="42"/>
        <v>2285.7142857142858</v>
      </c>
      <c r="S308" s="13"/>
      <c r="T308" s="13"/>
      <c r="U308" s="13"/>
      <c r="V308" s="40"/>
      <c r="W308" s="13"/>
    </row>
    <row r="309" spans="1:23" ht="18.75" customHeight="1" x14ac:dyDescent="0.35">
      <c r="A309" s="14">
        <v>320</v>
      </c>
      <c r="B309" s="65" t="s">
        <v>813</v>
      </c>
      <c r="C309" s="65" t="s">
        <v>869</v>
      </c>
      <c r="D309" s="65" t="s">
        <v>870</v>
      </c>
      <c r="E309" s="65" t="s">
        <v>49</v>
      </c>
      <c r="F309" s="65" t="s">
        <v>833</v>
      </c>
      <c r="G309" s="65" t="s">
        <v>23</v>
      </c>
      <c r="H309" s="66">
        <v>1.6</v>
      </c>
      <c r="I309" s="106" t="s">
        <v>1235</v>
      </c>
      <c r="J309" s="67" t="s">
        <v>30</v>
      </c>
      <c r="K309" s="67" t="s">
        <v>51</v>
      </c>
      <c r="L309" s="68">
        <v>10</v>
      </c>
      <c r="M309" s="69">
        <f t="shared" si="43"/>
        <v>4000</v>
      </c>
      <c r="N309" s="69">
        <f t="shared" si="33"/>
        <v>40000</v>
      </c>
      <c r="O309" s="69">
        <f>M309*2</f>
        <v>8000</v>
      </c>
      <c r="P309" s="69">
        <f>M309*8*0.8</f>
        <v>25600</v>
      </c>
      <c r="Q309" s="69">
        <f t="shared" si="44"/>
        <v>365.71428571428572</v>
      </c>
      <c r="R309" s="69">
        <f t="shared" si="42"/>
        <v>1462.8571428571429</v>
      </c>
      <c r="S309" s="13"/>
      <c r="T309" s="13"/>
      <c r="U309" s="13"/>
      <c r="V309" s="40"/>
      <c r="W309" s="13"/>
    </row>
    <row r="310" spans="1:23" ht="18.75" customHeight="1" x14ac:dyDescent="0.35">
      <c r="A310" s="14">
        <v>321</v>
      </c>
      <c r="B310" s="65" t="s">
        <v>813</v>
      </c>
      <c r="C310" s="65" t="s">
        <v>871</v>
      </c>
      <c r="D310" s="65" t="s">
        <v>854</v>
      </c>
      <c r="E310" s="65" t="s">
        <v>782</v>
      </c>
      <c r="F310" s="65" t="s">
        <v>867</v>
      </c>
      <c r="G310" s="65" t="s">
        <v>29</v>
      </c>
      <c r="H310" s="66">
        <v>0.2</v>
      </c>
      <c r="I310" s="106" t="s">
        <v>1234</v>
      </c>
      <c r="J310" s="67" t="s">
        <v>89</v>
      </c>
      <c r="K310" s="67" t="s">
        <v>35</v>
      </c>
      <c r="L310" s="68">
        <v>5</v>
      </c>
      <c r="M310" s="71">
        <f t="shared" si="43"/>
        <v>500</v>
      </c>
      <c r="N310" s="71">
        <f t="shared" si="33"/>
        <v>2500</v>
      </c>
      <c r="O310" s="71">
        <f>M310*L310</f>
        <v>2500</v>
      </c>
      <c r="P310" s="71">
        <v>0</v>
      </c>
      <c r="Q310" s="71">
        <f t="shared" si="44"/>
        <v>0</v>
      </c>
      <c r="R310" s="71">
        <f t="shared" si="42"/>
        <v>0</v>
      </c>
      <c r="S310" s="13"/>
      <c r="T310" s="13"/>
      <c r="U310" s="13"/>
      <c r="V310" s="40"/>
      <c r="W310" s="13"/>
    </row>
    <row r="311" spans="1:23" ht="18.75" customHeight="1" x14ac:dyDescent="0.35">
      <c r="A311" s="14">
        <v>322</v>
      </c>
      <c r="B311" s="65" t="s">
        <v>813</v>
      </c>
      <c r="C311" s="65" t="s">
        <v>871</v>
      </c>
      <c r="D311" s="65" t="s">
        <v>872</v>
      </c>
      <c r="E311" s="65" t="s">
        <v>27</v>
      </c>
      <c r="F311" s="65" t="s">
        <v>873</v>
      </c>
      <c r="G311" s="65" t="s">
        <v>29</v>
      </c>
      <c r="H311" s="66">
        <v>0.4</v>
      </c>
      <c r="I311" s="106" t="s">
        <v>1233</v>
      </c>
      <c r="J311" s="67" t="s">
        <v>89</v>
      </c>
      <c r="K311" s="67" t="s">
        <v>35</v>
      </c>
      <c r="L311" s="68">
        <v>3</v>
      </c>
      <c r="M311" s="71">
        <f t="shared" si="43"/>
        <v>1000</v>
      </c>
      <c r="N311" s="71">
        <f t="shared" si="33"/>
        <v>3000</v>
      </c>
      <c r="O311" s="71">
        <f>M311*L311</f>
        <v>3000</v>
      </c>
      <c r="P311" s="71">
        <v>0</v>
      </c>
      <c r="Q311" s="71">
        <f t="shared" si="44"/>
        <v>0</v>
      </c>
      <c r="R311" s="71">
        <f t="shared" si="42"/>
        <v>0</v>
      </c>
      <c r="S311" s="13"/>
      <c r="T311" s="13"/>
      <c r="U311" s="13"/>
      <c r="V311" s="40"/>
      <c r="W311" s="13"/>
    </row>
    <row r="312" spans="1:23" ht="18.75" customHeight="1" x14ac:dyDescent="0.35">
      <c r="A312" s="14">
        <v>323</v>
      </c>
      <c r="B312" s="65" t="s">
        <v>813</v>
      </c>
      <c r="C312" s="65" t="s">
        <v>874</v>
      </c>
      <c r="D312" s="65" t="s">
        <v>851</v>
      </c>
      <c r="E312" s="65" t="s">
        <v>875</v>
      </c>
      <c r="F312" s="65" t="s">
        <v>833</v>
      </c>
      <c r="G312" s="65" t="s">
        <v>23</v>
      </c>
      <c r="H312" s="66">
        <v>0.6</v>
      </c>
      <c r="I312" s="106" t="s">
        <v>1232</v>
      </c>
      <c r="J312" s="67" t="s">
        <v>30</v>
      </c>
      <c r="K312" s="67" t="s">
        <v>35</v>
      </c>
      <c r="L312" s="68">
        <v>25</v>
      </c>
      <c r="M312" s="69">
        <f t="shared" si="43"/>
        <v>1500</v>
      </c>
      <c r="N312" s="69">
        <f t="shared" ref="N312:N375" si="45">M312*L312</f>
        <v>37500</v>
      </c>
      <c r="O312" s="69">
        <f>M312*7</f>
        <v>10500</v>
      </c>
      <c r="P312" s="69">
        <f>M312*18*0.8</f>
        <v>21600</v>
      </c>
      <c r="Q312" s="69">
        <f t="shared" si="44"/>
        <v>308.57142857142856</v>
      </c>
      <c r="R312" s="69">
        <f t="shared" si="42"/>
        <v>1234.2857142857142</v>
      </c>
      <c r="S312" s="13"/>
      <c r="T312" s="13"/>
      <c r="U312" s="13"/>
      <c r="V312" s="40"/>
      <c r="W312" s="13"/>
    </row>
    <row r="313" spans="1:23" ht="18.75" customHeight="1" x14ac:dyDescent="0.35">
      <c r="A313" s="14">
        <v>324</v>
      </c>
      <c r="B313" s="65" t="s">
        <v>813</v>
      </c>
      <c r="C313" s="65" t="s">
        <v>876</v>
      </c>
      <c r="D313" s="65" t="s">
        <v>851</v>
      </c>
      <c r="E313" s="65" t="s">
        <v>27</v>
      </c>
      <c r="F313" s="65" t="s">
        <v>873</v>
      </c>
      <c r="G313" s="65" t="s">
        <v>29</v>
      </c>
      <c r="H313" s="66">
        <v>0.3</v>
      </c>
      <c r="I313" s="106" t="s">
        <v>1231</v>
      </c>
      <c r="J313" s="67" t="s">
        <v>89</v>
      </c>
      <c r="K313" s="67" t="s">
        <v>35</v>
      </c>
      <c r="L313" s="68">
        <v>3</v>
      </c>
      <c r="M313" s="71">
        <f t="shared" si="43"/>
        <v>750</v>
      </c>
      <c r="N313" s="71">
        <f t="shared" si="45"/>
        <v>2250</v>
      </c>
      <c r="O313" s="71">
        <f>M313*L313</f>
        <v>2250</v>
      </c>
      <c r="P313" s="71">
        <v>0</v>
      </c>
      <c r="Q313" s="71">
        <f t="shared" si="44"/>
        <v>0</v>
      </c>
      <c r="R313" s="71">
        <f t="shared" ref="R313:R344" si="46">Q313*4</f>
        <v>0</v>
      </c>
      <c r="S313" s="13"/>
      <c r="T313" s="13"/>
      <c r="U313" s="13"/>
      <c r="V313" s="40"/>
      <c r="W313" s="13"/>
    </row>
    <row r="314" spans="1:23" ht="18.75" customHeight="1" x14ac:dyDescent="0.35">
      <c r="A314" s="14">
        <v>325</v>
      </c>
      <c r="B314" s="65" t="s">
        <v>813</v>
      </c>
      <c r="C314" s="65" t="s">
        <v>877</v>
      </c>
      <c r="D314" s="65" t="s">
        <v>878</v>
      </c>
      <c r="E314" s="65" t="s">
        <v>49</v>
      </c>
      <c r="F314" s="65" t="s">
        <v>822</v>
      </c>
      <c r="G314" s="65" t="s">
        <v>23</v>
      </c>
      <c r="H314" s="66">
        <v>15.8</v>
      </c>
      <c r="I314" s="106" t="s">
        <v>1230</v>
      </c>
      <c r="J314" s="67" t="s">
        <v>30</v>
      </c>
      <c r="K314" s="67" t="s">
        <v>35</v>
      </c>
      <c r="L314" s="68">
        <v>8</v>
      </c>
      <c r="M314" s="69">
        <f t="shared" si="43"/>
        <v>39500</v>
      </c>
      <c r="N314" s="69">
        <f t="shared" si="45"/>
        <v>316000</v>
      </c>
      <c r="O314" s="69">
        <f>M314*2</f>
        <v>79000</v>
      </c>
      <c r="P314" s="69">
        <f>M314*6*0.8</f>
        <v>189600</v>
      </c>
      <c r="Q314" s="69">
        <f t="shared" si="44"/>
        <v>2708.5714285714284</v>
      </c>
      <c r="R314" s="69">
        <f t="shared" si="46"/>
        <v>10834.285714285714</v>
      </c>
      <c r="S314" s="13"/>
      <c r="T314" s="13"/>
      <c r="U314" s="13"/>
      <c r="V314" s="40"/>
      <c r="W314" s="13"/>
    </row>
    <row r="315" spans="1:23" ht="18.75" customHeight="1" x14ac:dyDescent="0.35">
      <c r="A315" s="14">
        <v>326</v>
      </c>
      <c r="B315" s="65" t="s">
        <v>813</v>
      </c>
      <c r="C315" s="65" t="s">
        <v>879</v>
      </c>
      <c r="D315" s="65" t="s">
        <v>854</v>
      </c>
      <c r="E315" s="65" t="s">
        <v>549</v>
      </c>
      <c r="F315" s="65" t="s">
        <v>822</v>
      </c>
      <c r="G315" s="65" t="s">
        <v>23</v>
      </c>
      <c r="H315" s="70">
        <v>2</v>
      </c>
      <c r="I315" s="106" t="s">
        <v>1229</v>
      </c>
      <c r="J315" s="67" t="s">
        <v>30</v>
      </c>
      <c r="K315" s="67" t="s">
        <v>35</v>
      </c>
      <c r="L315" s="68">
        <v>7</v>
      </c>
      <c r="M315" s="69">
        <f t="shared" si="43"/>
        <v>5000</v>
      </c>
      <c r="N315" s="69">
        <f t="shared" si="45"/>
        <v>35000</v>
      </c>
      <c r="O315" s="69">
        <f>M315*2</f>
        <v>10000</v>
      </c>
      <c r="P315" s="69">
        <f>M315*5*0.8</f>
        <v>20000</v>
      </c>
      <c r="Q315" s="69">
        <f t="shared" si="44"/>
        <v>285.71428571428572</v>
      </c>
      <c r="R315" s="69">
        <f t="shared" si="46"/>
        <v>1142.8571428571429</v>
      </c>
      <c r="S315" s="13"/>
      <c r="T315" s="13"/>
      <c r="U315" s="13"/>
      <c r="V315" s="40"/>
      <c r="W315" s="13"/>
    </row>
    <row r="316" spans="1:23" ht="18.75" customHeight="1" x14ac:dyDescent="0.35">
      <c r="A316" s="14">
        <v>327</v>
      </c>
      <c r="B316" s="65" t="s">
        <v>813</v>
      </c>
      <c r="C316" s="65" t="s">
        <v>880</v>
      </c>
      <c r="D316" s="65" t="s">
        <v>878</v>
      </c>
      <c r="E316" s="65" t="s">
        <v>881</v>
      </c>
      <c r="F316" s="65" t="s">
        <v>882</v>
      </c>
      <c r="G316" s="65" t="s">
        <v>23</v>
      </c>
      <c r="H316" s="66">
        <v>15.9</v>
      </c>
      <c r="I316" s="106" t="s">
        <v>1228</v>
      </c>
      <c r="J316" s="67" t="s">
        <v>30</v>
      </c>
      <c r="K316" s="67" t="s">
        <v>35</v>
      </c>
      <c r="L316" s="68">
        <v>12</v>
      </c>
      <c r="M316" s="69">
        <f t="shared" si="43"/>
        <v>39750</v>
      </c>
      <c r="N316" s="69">
        <f t="shared" si="45"/>
        <v>477000</v>
      </c>
      <c r="O316" s="69">
        <f>M316*2</f>
        <v>79500</v>
      </c>
      <c r="P316" s="69">
        <f>M316*10*0.8</f>
        <v>318000</v>
      </c>
      <c r="Q316" s="69">
        <f t="shared" si="44"/>
        <v>4542.8571428571431</v>
      </c>
      <c r="R316" s="69">
        <f t="shared" si="46"/>
        <v>18171.428571428572</v>
      </c>
      <c r="S316" s="13"/>
      <c r="T316" s="13"/>
      <c r="U316" s="13"/>
      <c r="V316" s="40"/>
      <c r="W316" s="13"/>
    </row>
    <row r="317" spans="1:23" ht="18.75" customHeight="1" x14ac:dyDescent="0.35">
      <c r="A317" s="14">
        <v>328</v>
      </c>
      <c r="B317" s="65" t="s">
        <v>813</v>
      </c>
      <c r="C317" s="65" t="s">
        <v>883</v>
      </c>
      <c r="D317" s="65" t="s">
        <v>851</v>
      </c>
      <c r="E317" s="65" t="s">
        <v>884</v>
      </c>
      <c r="F317" s="65" t="s">
        <v>730</v>
      </c>
      <c r="G317" s="65" t="s">
        <v>113</v>
      </c>
      <c r="H317" s="66">
        <v>1.7</v>
      </c>
      <c r="I317" s="106" t="s">
        <v>1227</v>
      </c>
      <c r="J317" s="67" t="s">
        <v>89</v>
      </c>
      <c r="K317" s="67" t="s">
        <v>35</v>
      </c>
      <c r="L317" s="68">
        <v>4</v>
      </c>
      <c r="M317" s="71">
        <f t="shared" si="43"/>
        <v>4250</v>
      </c>
      <c r="N317" s="71">
        <f t="shared" si="45"/>
        <v>17000</v>
      </c>
      <c r="O317" s="71">
        <f>M317*L317</f>
        <v>17000</v>
      </c>
      <c r="P317" s="71">
        <v>0</v>
      </c>
      <c r="Q317" s="71">
        <f t="shared" si="44"/>
        <v>0</v>
      </c>
      <c r="R317" s="71">
        <f t="shared" si="46"/>
        <v>0</v>
      </c>
      <c r="S317" s="13"/>
      <c r="T317" s="13"/>
      <c r="U317" s="13"/>
      <c r="V317" s="40"/>
      <c r="W317" s="13"/>
    </row>
    <row r="318" spans="1:23" ht="18.75" customHeight="1" x14ac:dyDescent="0.35">
      <c r="A318" s="14">
        <v>329</v>
      </c>
      <c r="B318" s="65" t="s">
        <v>813</v>
      </c>
      <c r="C318" s="65" t="s">
        <v>885</v>
      </c>
      <c r="D318" s="65" t="s">
        <v>828</v>
      </c>
      <c r="E318" s="65" t="s">
        <v>886</v>
      </c>
      <c r="F318" s="65" t="s">
        <v>887</v>
      </c>
      <c r="G318" s="65" t="s">
        <v>23</v>
      </c>
      <c r="H318" s="66">
        <v>5.0999999999999996</v>
      </c>
      <c r="I318" s="106" t="s">
        <v>1226</v>
      </c>
      <c r="J318" s="67" t="s">
        <v>30</v>
      </c>
      <c r="K318" s="67" t="s">
        <v>51</v>
      </c>
      <c r="L318" s="68">
        <v>12</v>
      </c>
      <c r="M318" s="69">
        <f t="shared" si="43"/>
        <v>12750</v>
      </c>
      <c r="N318" s="69">
        <f t="shared" si="45"/>
        <v>153000</v>
      </c>
      <c r="O318" s="69">
        <f>M318*2</f>
        <v>25500</v>
      </c>
      <c r="P318" s="69">
        <f>M318*10*0.8</f>
        <v>102000</v>
      </c>
      <c r="Q318" s="69">
        <f t="shared" si="44"/>
        <v>1457.1428571428571</v>
      </c>
      <c r="R318" s="69">
        <f t="shared" si="46"/>
        <v>5828.5714285714284</v>
      </c>
      <c r="S318" s="13"/>
      <c r="T318" s="13"/>
      <c r="U318" s="13"/>
      <c r="V318" s="40"/>
      <c r="W318" s="13"/>
    </row>
    <row r="319" spans="1:23" ht="18.75" customHeight="1" x14ac:dyDescent="0.35">
      <c r="A319" s="14">
        <v>330</v>
      </c>
      <c r="B319" s="65" t="s">
        <v>813</v>
      </c>
      <c r="C319" s="65" t="s">
        <v>888</v>
      </c>
      <c r="D319" s="65" t="s">
        <v>889</v>
      </c>
      <c r="E319" s="65" t="s">
        <v>890</v>
      </c>
      <c r="F319" s="65" t="s">
        <v>822</v>
      </c>
      <c r="G319" s="65" t="s">
        <v>23</v>
      </c>
      <c r="H319" s="70">
        <v>13</v>
      </c>
      <c r="I319" s="106" t="s">
        <v>1225</v>
      </c>
      <c r="J319" s="67" t="s">
        <v>30</v>
      </c>
      <c r="K319" s="67" t="s">
        <v>51</v>
      </c>
      <c r="L319" s="68">
        <v>5</v>
      </c>
      <c r="M319" s="69">
        <f t="shared" si="43"/>
        <v>32500</v>
      </c>
      <c r="N319" s="69">
        <f t="shared" si="45"/>
        <v>162500</v>
      </c>
      <c r="O319" s="69">
        <f>M319*1</f>
        <v>32500</v>
      </c>
      <c r="P319" s="69">
        <f>M319*4*0.8</f>
        <v>104000</v>
      </c>
      <c r="Q319" s="69">
        <f t="shared" si="44"/>
        <v>1485.7142857142858</v>
      </c>
      <c r="R319" s="69">
        <f t="shared" si="46"/>
        <v>5942.8571428571431</v>
      </c>
      <c r="S319" s="13"/>
      <c r="T319" s="13"/>
      <c r="U319" s="13"/>
      <c r="V319" s="40"/>
      <c r="W319" s="13"/>
    </row>
    <row r="320" spans="1:23" ht="18.75" customHeight="1" x14ac:dyDescent="0.35">
      <c r="A320" s="14">
        <v>331</v>
      </c>
      <c r="B320" s="65" t="s">
        <v>813</v>
      </c>
      <c r="C320" s="65" t="s">
        <v>891</v>
      </c>
      <c r="D320" s="65" t="s">
        <v>841</v>
      </c>
      <c r="E320" s="65" t="s">
        <v>33</v>
      </c>
      <c r="F320" s="65" t="s">
        <v>822</v>
      </c>
      <c r="G320" s="65" t="s">
        <v>23</v>
      </c>
      <c r="H320" s="66">
        <v>1.5</v>
      </c>
      <c r="I320" s="105" t="s">
        <v>1224</v>
      </c>
      <c r="J320" s="65" t="s">
        <v>24</v>
      </c>
      <c r="K320" s="65" t="s">
        <v>35</v>
      </c>
      <c r="L320" s="68">
        <v>10</v>
      </c>
      <c r="M320" s="21">
        <f t="shared" si="43"/>
        <v>3750</v>
      </c>
      <c r="N320" s="21">
        <f t="shared" si="45"/>
        <v>37500</v>
      </c>
      <c r="O320" s="21">
        <f>M320*2</f>
        <v>7500</v>
      </c>
      <c r="P320" s="21">
        <f>M320*8*0.8</f>
        <v>24000</v>
      </c>
      <c r="Q320" s="21">
        <f t="shared" si="44"/>
        <v>342.85714285714283</v>
      </c>
      <c r="R320" s="21">
        <f t="shared" si="46"/>
        <v>1371.4285714285713</v>
      </c>
      <c r="S320" s="13"/>
      <c r="T320" s="13"/>
      <c r="U320" s="13"/>
      <c r="V320" s="40"/>
      <c r="W320" s="13"/>
    </row>
    <row r="321" spans="1:23" ht="18.75" customHeight="1" x14ac:dyDescent="0.35">
      <c r="A321" s="14">
        <v>332</v>
      </c>
      <c r="B321" s="65" t="s">
        <v>813</v>
      </c>
      <c r="C321" s="65" t="s">
        <v>892</v>
      </c>
      <c r="D321" s="65" t="s">
        <v>763</v>
      </c>
      <c r="E321" s="65" t="s">
        <v>893</v>
      </c>
      <c r="F321" s="65" t="s">
        <v>894</v>
      </c>
      <c r="G321" s="65" t="s">
        <v>23</v>
      </c>
      <c r="H321" s="70">
        <v>1</v>
      </c>
      <c r="I321" s="65" t="s">
        <v>895</v>
      </c>
      <c r="J321" s="65" t="s">
        <v>24</v>
      </c>
      <c r="K321" s="65" t="s">
        <v>51</v>
      </c>
      <c r="L321" s="68">
        <v>18</v>
      </c>
      <c r="M321" s="69">
        <f t="shared" si="43"/>
        <v>2500</v>
      </c>
      <c r="N321" s="69">
        <f t="shared" si="45"/>
        <v>45000</v>
      </c>
      <c r="O321" s="69">
        <f>M321*5</f>
        <v>12500</v>
      </c>
      <c r="P321" s="69">
        <f>M321*15*0.8</f>
        <v>30000</v>
      </c>
      <c r="Q321" s="69">
        <f t="shared" si="44"/>
        <v>428.57142857142856</v>
      </c>
      <c r="R321" s="69">
        <f t="shared" si="46"/>
        <v>1714.2857142857142</v>
      </c>
      <c r="S321" s="13"/>
      <c r="T321" s="13"/>
      <c r="U321" s="13"/>
      <c r="V321" s="40"/>
      <c r="W321" s="13"/>
    </row>
    <row r="322" spans="1:23" ht="18.75" customHeight="1" x14ac:dyDescent="0.35">
      <c r="A322" s="14">
        <v>333</v>
      </c>
      <c r="B322" s="65" t="s">
        <v>813</v>
      </c>
      <c r="C322" s="65" t="s">
        <v>896</v>
      </c>
      <c r="D322" s="65" t="s">
        <v>854</v>
      </c>
      <c r="E322" s="65" t="s">
        <v>897</v>
      </c>
      <c r="F322" s="65" t="s">
        <v>894</v>
      </c>
      <c r="G322" s="65" t="s">
        <v>23</v>
      </c>
      <c r="H322" s="70">
        <v>6</v>
      </c>
      <c r="I322" s="105" t="s">
        <v>1223</v>
      </c>
      <c r="J322" s="65" t="s">
        <v>24</v>
      </c>
      <c r="K322" s="65" t="s">
        <v>35</v>
      </c>
      <c r="L322" s="68">
        <v>16</v>
      </c>
      <c r="M322" s="69">
        <f t="shared" si="43"/>
        <v>15000</v>
      </c>
      <c r="N322" s="69">
        <f t="shared" si="45"/>
        <v>240000</v>
      </c>
      <c r="O322" s="69">
        <f>M322*10</f>
        <v>150000</v>
      </c>
      <c r="P322" s="69">
        <f>M322*16*0.8</f>
        <v>192000</v>
      </c>
      <c r="Q322" s="69">
        <f t="shared" si="44"/>
        <v>2742.8571428571427</v>
      </c>
      <c r="R322" s="69">
        <f t="shared" si="46"/>
        <v>10971.428571428571</v>
      </c>
      <c r="S322" s="13"/>
      <c r="T322" s="13"/>
      <c r="U322" s="13"/>
      <c r="V322" s="40"/>
      <c r="W322" s="13"/>
    </row>
    <row r="323" spans="1:23" ht="18.75" customHeight="1" x14ac:dyDescent="0.35">
      <c r="A323" s="14">
        <v>334</v>
      </c>
      <c r="B323" s="65" t="s">
        <v>813</v>
      </c>
      <c r="C323" s="65" t="s">
        <v>898</v>
      </c>
      <c r="D323" s="65" t="s">
        <v>826</v>
      </c>
      <c r="E323" s="65" t="s">
        <v>831</v>
      </c>
      <c r="F323" s="65" t="s">
        <v>894</v>
      </c>
      <c r="G323" s="65" t="s">
        <v>23</v>
      </c>
      <c r="H323" s="66">
        <v>2.5</v>
      </c>
      <c r="I323" s="105" t="s">
        <v>1222</v>
      </c>
      <c r="J323" s="65" t="s">
        <v>24</v>
      </c>
      <c r="K323" s="65" t="s">
        <v>51</v>
      </c>
      <c r="L323" s="68">
        <v>12</v>
      </c>
      <c r="M323" s="69">
        <f t="shared" si="43"/>
        <v>6250</v>
      </c>
      <c r="N323" s="69">
        <f t="shared" si="45"/>
        <v>75000</v>
      </c>
      <c r="O323" s="69">
        <f t="shared" ref="O323:O328" si="47">M323*2</f>
        <v>12500</v>
      </c>
      <c r="P323" s="69">
        <f>M323*10*0.8</f>
        <v>50000</v>
      </c>
      <c r="Q323" s="69">
        <f t="shared" si="44"/>
        <v>714.28571428571433</v>
      </c>
      <c r="R323" s="69">
        <f t="shared" si="46"/>
        <v>2857.1428571428573</v>
      </c>
      <c r="S323" s="13"/>
      <c r="T323" s="13"/>
      <c r="U323" s="13"/>
      <c r="V323" s="40"/>
      <c r="W323" s="13"/>
    </row>
    <row r="324" spans="1:23" ht="18.75" customHeight="1" x14ac:dyDescent="0.35">
      <c r="A324" s="14">
        <v>335</v>
      </c>
      <c r="B324" s="65" t="s">
        <v>813</v>
      </c>
      <c r="C324" s="65" t="s">
        <v>899</v>
      </c>
      <c r="D324" s="65" t="s">
        <v>900</v>
      </c>
      <c r="E324" s="65" t="s">
        <v>763</v>
      </c>
      <c r="F324" s="65" t="s">
        <v>894</v>
      </c>
      <c r="G324" s="65" t="s">
        <v>23</v>
      </c>
      <c r="H324" s="66">
        <v>16.399999999999999</v>
      </c>
      <c r="I324" s="105" t="s">
        <v>1221</v>
      </c>
      <c r="J324" s="65" t="s">
        <v>24</v>
      </c>
      <c r="K324" s="65" t="s">
        <v>35</v>
      </c>
      <c r="L324" s="68">
        <v>12</v>
      </c>
      <c r="M324" s="69">
        <f t="shared" si="43"/>
        <v>41000</v>
      </c>
      <c r="N324" s="69">
        <f t="shared" si="45"/>
        <v>492000</v>
      </c>
      <c r="O324" s="69">
        <f t="shared" si="47"/>
        <v>82000</v>
      </c>
      <c r="P324" s="69">
        <f>M324*10*0.8</f>
        <v>328000</v>
      </c>
      <c r="Q324" s="69">
        <f t="shared" si="44"/>
        <v>4685.7142857142853</v>
      </c>
      <c r="R324" s="69">
        <f t="shared" si="46"/>
        <v>18742.857142857141</v>
      </c>
      <c r="S324" s="13"/>
      <c r="T324" s="13"/>
      <c r="U324" s="13"/>
      <c r="V324" s="40"/>
      <c r="W324" s="13"/>
    </row>
    <row r="325" spans="1:23" ht="18.75" customHeight="1" x14ac:dyDescent="0.35">
      <c r="A325" s="14">
        <v>336</v>
      </c>
      <c r="B325" s="20" t="s">
        <v>901</v>
      </c>
      <c r="C325" s="20" t="s">
        <v>902</v>
      </c>
      <c r="D325" s="20" t="s">
        <v>903</v>
      </c>
      <c r="E325" s="20" t="s">
        <v>57</v>
      </c>
      <c r="F325" s="20" t="s">
        <v>904</v>
      </c>
      <c r="G325" s="20" t="s">
        <v>23</v>
      </c>
      <c r="H325" s="27">
        <v>3.22</v>
      </c>
      <c r="I325" s="92" t="s">
        <v>1220</v>
      </c>
      <c r="J325" s="20" t="s">
        <v>30</v>
      </c>
      <c r="K325" s="20" t="s">
        <v>51</v>
      </c>
      <c r="L325" s="68">
        <v>12</v>
      </c>
      <c r="M325" s="72">
        <f t="shared" si="43"/>
        <v>8050.0000000000009</v>
      </c>
      <c r="N325" s="72">
        <f t="shared" si="45"/>
        <v>96600.000000000015</v>
      </c>
      <c r="O325" s="72">
        <f t="shared" si="47"/>
        <v>16100.000000000002</v>
      </c>
      <c r="P325" s="72">
        <f>M325*10*0.8</f>
        <v>64400.000000000015</v>
      </c>
      <c r="Q325" s="72">
        <f t="shared" si="44"/>
        <v>920.00000000000023</v>
      </c>
      <c r="R325" s="72">
        <f t="shared" si="46"/>
        <v>3680.0000000000009</v>
      </c>
      <c r="S325" s="13"/>
      <c r="T325" s="13"/>
      <c r="U325" s="13"/>
      <c r="V325" s="40"/>
      <c r="W325" s="13"/>
    </row>
    <row r="326" spans="1:23" ht="18.75" customHeight="1" x14ac:dyDescent="0.35">
      <c r="A326" s="14">
        <v>337</v>
      </c>
      <c r="B326" s="20" t="s">
        <v>901</v>
      </c>
      <c r="C326" s="20" t="s">
        <v>905</v>
      </c>
      <c r="D326" s="20" t="s">
        <v>428</v>
      </c>
      <c r="E326" s="20" t="s">
        <v>57</v>
      </c>
      <c r="F326" s="20" t="s">
        <v>904</v>
      </c>
      <c r="G326" s="20" t="s">
        <v>23</v>
      </c>
      <c r="H326" s="27">
        <v>11.3</v>
      </c>
      <c r="I326" s="92" t="s">
        <v>1219</v>
      </c>
      <c r="J326" s="20" t="s">
        <v>30</v>
      </c>
      <c r="K326" s="20" t="s">
        <v>51</v>
      </c>
      <c r="L326" s="68">
        <v>10</v>
      </c>
      <c r="M326" s="72">
        <f t="shared" si="43"/>
        <v>28250</v>
      </c>
      <c r="N326" s="72">
        <f t="shared" si="45"/>
        <v>282500</v>
      </c>
      <c r="O326" s="72">
        <f t="shared" si="47"/>
        <v>56500</v>
      </c>
      <c r="P326" s="72">
        <f>M326*8*0.8</f>
        <v>180800</v>
      </c>
      <c r="Q326" s="72">
        <f t="shared" si="44"/>
        <v>2582.8571428571427</v>
      </c>
      <c r="R326" s="72">
        <f t="shared" si="46"/>
        <v>10331.428571428571</v>
      </c>
      <c r="S326" s="13"/>
      <c r="T326" s="13"/>
      <c r="U326" s="13"/>
      <c r="V326" s="40"/>
      <c r="W326" s="13"/>
    </row>
    <row r="327" spans="1:23" ht="18.75" customHeight="1" x14ac:dyDescent="0.35">
      <c r="A327" s="14">
        <v>338</v>
      </c>
      <c r="B327" s="20" t="s">
        <v>901</v>
      </c>
      <c r="C327" s="20" t="s">
        <v>906</v>
      </c>
      <c r="D327" s="20" t="s">
        <v>428</v>
      </c>
      <c r="E327" s="20" t="s">
        <v>890</v>
      </c>
      <c r="F327" s="20" t="s">
        <v>904</v>
      </c>
      <c r="G327" s="20" t="s">
        <v>23</v>
      </c>
      <c r="H327" s="27">
        <v>5.88</v>
      </c>
      <c r="I327" s="92" t="s">
        <v>1218</v>
      </c>
      <c r="J327" s="20" t="s">
        <v>30</v>
      </c>
      <c r="K327" s="20" t="s">
        <v>51</v>
      </c>
      <c r="L327" s="68">
        <v>5</v>
      </c>
      <c r="M327" s="72">
        <f t="shared" si="43"/>
        <v>14700</v>
      </c>
      <c r="N327" s="72">
        <f t="shared" si="45"/>
        <v>73500</v>
      </c>
      <c r="O327" s="72">
        <f t="shared" si="47"/>
        <v>29400</v>
      </c>
      <c r="P327" s="72">
        <f>M327*4*0.8</f>
        <v>47040</v>
      </c>
      <c r="Q327" s="72">
        <f t="shared" si="44"/>
        <v>672</v>
      </c>
      <c r="R327" s="72">
        <f t="shared" si="46"/>
        <v>2688</v>
      </c>
      <c r="S327" s="13"/>
      <c r="T327" s="13"/>
      <c r="U327" s="13"/>
      <c r="V327" s="40"/>
      <c r="W327" s="13"/>
    </row>
    <row r="328" spans="1:23" ht="18.75" customHeight="1" x14ac:dyDescent="0.35">
      <c r="A328" s="14">
        <v>339</v>
      </c>
      <c r="B328" s="20" t="s">
        <v>901</v>
      </c>
      <c r="C328" s="20" t="s">
        <v>907</v>
      </c>
      <c r="D328" s="20" t="s">
        <v>428</v>
      </c>
      <c r="E328" s="20" t="s">
        <v>57</v>
      </c>
      <c r="F328" s="20" t="s">
        <v>904</v>
      </c>
      <c r="G328" s="20" t="s">
        <v>23</v>
      </c>
      <c r="H328" s="27">
        <v>10.6</v>
      </c>
      <c r="I328" s="92" t="s">
        <v>1217</v>
      </c>
      <c r="J328" s="20" t="s">
        <v>30</v>
      </c>
      <c r="K328" s="20" t="s">
        <v>51</v>
      </c>
      <c r="L328" s="68">
        <v>10</v>
      </c>
      <c r="M328" s="72">
        <f t="shared" si="43"/>
        <v>26500</v>
      </c>
      <c r="N328" s="72">
        <f t="shared" si="45"/>
        <v>265000</v>
      </c>
      <c r="O328" s="72">
        <f t="shared" si="47"/>
        <v>53000</v>
      </c>
      <c r="P328" s="72">
        <f>M328*8*0.8</f>
        <v>169600</v>
      </c>
      <c r="Q328" s="72">
        <f t="shared" si="44"/>
        <v>2422.8571428571427</v>
      </c>
      <c r="R328" s="72">
        <f t="shared" si="46"/>
        <v>9691.4285714285706</v>
      </c>
      <c r="S328" s="13"/>
      <c r="T328" s="13"/>
      <c r="U328" s="13"/>
      <c r="V328" s="40"/>
      <c r="W328" s="13"/>
    </row>
    <row r="329" spans="1:23" ht="18.75" customHeight="1" x14ac:dyDescent="0.35">
      <c r="A329" s="14">
        <v>340</v>
      </c>
      <c r="B329" s="20" t="s">
        <v>901</v>
      </c>
      <c r="C329" s="20" t="s">
        <v>908</v>
      </c>
      <c r="D329" s="20" t="s">
        <v>510</v>
      </c>
      <c r="E329" s="20" t="s">
        <v>57</v>
      </c>
      <c r="F329" s="20" t="s">
        <v>904</v>
      </c>
      <c r="G329" s="20" t="s">
        <v>23</v>
      </c>
      <c r="H329" s="27">
        <v>0.67</v>
      </c>
      <c r="I329" s="92" t="s">
        <v>1216</v>
      </c>
      <c r="J329" s="20" t="s">
        <v>30</v>
      </c>
      <c r="K329" s="20" t="s">
        <v>51</v>
      </c>
      <c r="L329" s="68">
        <v>16</v>
      </c>
      <c r="M329" s="72">
        <f t="shared" si="43"/>
        <v>1675</v>
      </c>
      <c r="N329" s="72">
        <f t="shared" si="45"/>
        <v>26800</v>
      </c>
      <c r="O329" s="72">
        <f>M329*3</f>
        <v>5025</v>
      </c>
      <c r="P329" s="72">
        <f>M329*13*0.8</f>
        <v>17420</v>
      </c>
      <c r="Q329" s="72">
        <f t="shared" si="44"/>
        <v>248.85714285714286</v>
      </c>
      <c r="R329" s="72">
        <f t="shared" si="46"/>
        <v>995.42857142857144</v>
      </c>
      <c r="S329" s="13"/>
      <c r="T329" s="13"/>
      <c r="U329" s="13"/>
      <c r="V329" s="40"/>
      <c r="W329" s="13"/>
    </row>
    <row r="330" spans="1:23" ht="18.75" customHeight="1" x14ac:dyDescent="0.35">
      <c r="A330" s="14">
        <v>341</v>
      </c>
      <c r="B330" s="20" t="s">
        <v>901</v>
      </c>
      <c r="C330" s="20" t="s">
        <v>909</v>
      </c>
      <c r="D330" s="20" t="s">
        <v>428</v>
      </c>
      <c r="E330" s="20" t="s">
        <v>57</v>
      </c>
      <c r="F330" s="20" t="s">
        <v>904</v>
      </c>
      <c r="G330" s="20" t="s">
        <v>23</v>
      </c>
      <c r="H330" s="27">
        <v>0.98</v>
      </c>
      <c r="I330" s="92" t="s">
        <v>1215</v>
      </c>
      <c r="J330" s="20" t="s">
        <v>30</v>
      </c>
      <c r="K330" s="20" t="s">
        <v>51</v>
      </c>
      <c r="L330" s="68">
        <v>13</v>
      </c>
      <c r="M330" s="72">
        <f t="shared" si="43"/>
        <v>2450</v>
      </c>
      <c r="N330" s="72">
        <f t="shared" si="45"/>
        <v>31850</v>
      </c>
      <c r="O330" s="72">
        <f>M330*3</f>
        <v>7350</v>
      </c>
      <c r="P330" s="72">
        <f>M330*10*0.8</f>
        <v>19600</v>
      </c>
      <c r="Q330" s="72">
        <f t="shared" si="44"/>
        <v>280</v>
      </c>
      <c r="R330" s="72">
        <f t="shared" si="46"/>
        <v>1120</v>
      </c>
      <c r="S330" s="13"/>
      <c r="T330" s="13"/>
      <c r="U330" s="13"/>
      <c r="V330" s="40"/>
      <c r="W330" s="13"/>
    </row>
    <row r="331" spans="1:23" ht="18.75" customHeight="1" x14ac:dyDescent="0.35">
      <c r="A331" s="14">
        <v>342</v>
      </c>
      <c r="B331" s="20" t="s">
        <v>901</v>
      </c>
      <c r="C331" s="20" t="s">
        <v>910</v>
      </c>
      <c r="D331" s="20" t="s">
        <v>453</v>
      </c>
      <c r="E331" s="20" t="s">
        <v>57</v>
      </c>
      <c r="F331" s="20" t="s">
        <v>904</v>
      </c>
      <c r="G331" s="20" t="s">
        <v>23</v>
      </c>
      <c r="H331" s="27">
        <v>9.6</v>
      </c>
      <c r="I331" s="92" t="s">
        <v>1214</v>
      </c>
      <c r="J331" s="20" t="s">
        <v>30</v>
      </c>
      <c r="K331" s="20" t="s">
        <v>51</v>
      </c>
      <c r="L331" s="68">
        <v>10</v>
      </c>
      <c r="M331" s="72">
        <f t="shared" si="43"/>
        <v>24000</v>
      </c>
      <c r="N331" s="72">
        <f t="shared" si="45"/>
        <v>240000</v>
      </c>
      <c r="O331" s="72">
        <f>M331*2</f>
        <v>48000</v>
      </c>
      <c r="P331" s="72">
        <f>M331*8*0.8</f>
        <v>153600</v>
      </c>
      <c r="Q331" s="72">
        <f t="shared" si="44"/>
        <v>2194.2857142857142</v>
      </c>
      <c r="R331" s="72">
        <f t="shared" si="46"/>
        <v>8777.1428571428569</v>
      </c>
      <c r="S331" s="13"/>
      <c r="T331" s="13"/>
      <c r="U331" s="13"/>
      <c r="V331" s="40"/>
      <c r="W331" s="13"/>
    </row>
    <row r="332" spans="1:23" ht="18.75" customHeight="1" x14ac:dyDescent="0.35">
      <c r="A332" s="14">
        <v>343</v>
      </c>
      <c r="B332" s="20" t="s">
        <v>901</v>
      </c>
      <c r="C332" s="20" t="s">
        <v>911</v>
      </c>
      <c r="D332" s="20" t="s">
        <v>453</v>
      </c>
      <c r="E332" s="20" t="s">
        <v>57</v>
      </c>
      <c r="F332" s="20" t="s">
        <v>904</v>
      </c>
      <c r="G332" s="20" t="s">
        <v>23</v>
      </c>
      <c r="H332" s="27">
        <v>9.32</v>
      </c>
      <c r="I332" s="92" t="s">
        <v>1213</v>
      </c>
      <c r="J332" s="20" t="s">
        <v>30</v>
      </c>
      <c r="K332" s="20" t="s">
        <v>51</v>
      </c>
      <c r="L332" s="68">
        <v>10</v>
      </c>
      <c r="M332" s="72">
        <f t="shared" si="43"/>
        <v>23300</v>
      </c>
      <c r="N332" s="72">
        <f t="shared" si="45"/>
        <v>233000</v>
      </c>
      <c r="O332" s="72">
        <f>M332*2</f>
        <v>46600</v>
      </c>
      <c r="P332" s="72">
        <f>M332*8*0.8</f>
        <v>149120</v>
      </c>
      <c r="Q332" s="72">
        <f t="shared" si="44"/>
        <v>2130.2857142857142</v>
      </c>
      <c r="R332" s="72">
        <f t="shared" si="46"/>
        <v>8521.1428571428569</v>
      </c>
      <c r="S332" s="13"/>
      <c r="T332" s="13"/>
      <c r="U332" s="13"/>
      <c r="V332" s="40"/>
      <c r="W332" s="13"/>
    </row>
    <row r="333" spans="1:23" ht="68.25" customHeight="1" x14ac:dyDescent="0.35">
      <c r="A333" s="14">
        <v>344</v>
      </c>
      <c r="B333" s="20" t="s">
        <v>901</v>
      </c>
      <c r="C333" s="20" t="s">
        <v>912</v>
      </c>
      <c r="D333" s="20" t="s">
        <v>510</v>
      </c>
      <c r="E333" s="20" t="s">
        <v>644</v>
      </c>
      <c r="F333" s="20" t="s">
        <v>913</v>
      </c>
      <c r="G333" s="20" t="s">
        <v>251</v>
      </c>
      <c r="H333" s="14">
        <v>305</v>
      </c>
      <c r="I333" s="20" t="s">
        <v>914</v>
      </c>
      <c r="J333" s="20" t="s">
        <v>30</v>
      </c>
      <c r="K333" s="20" t="s">
        <v>51</v>
      </c>
      <c r="L333" s="68">
        <v>12</v>
      </c>
      <c r="M333" s="72">
        <f t="shared" si="43"/>
        <v>762500</v>
      </c>
      <c r="N333" s="72">
        <f t="shared" si="45"/>
        <v>9150000</v>
      </c>
      <c r="O333" s="72">
        <f>M333*L333</f>
        <v>9150000</v>
      </c>
      <c r="P333" s="72">
        <v>0</v>
      </c>
      <c r="Q333" s="72">
        <f t="shared" si="44"/>
        <v>0</v>
      </c>
      <c r="R333" s="72">
        <f t="shared" si="46"/>
        <v>0</v>
      </c>
      <c r="S333" s="13"/>
      <c r="T333" s="13"/>
      <c r="U333" s="13"/>
      <c r="V333" s="40"/>
      <c r="W333" s="13"/>
    </row>
    <row r="334" spans="1:23" ht="68.25" customHeight="1" x14ac:dyDescent="0.35">
      <c r="A334" s="14">
        <v>345</v>
      </c>
      <c r="B334" s="20" t="s">
        <v>901</v>
      </c>
      <c r="C334" s="20" t="s">
        <v>915</v>
      </c>
      <c r="D334" s="20" t="s">
        <v>428</v>
      </c>
      <c r="E334" s="20" t="s">
        <v>763</v>
      </c>
      <c r="F334" s="20" t="s">
        <v>916</v>
      </c>
      <c r="G334" s="20" t="s">
        <v>23</v>
      </c>
      <c r="H334" s="14">
        <v>42</v>
      </c>
      <c r="I334" s="20" t="s">
        <v>917</v>
      </c>
      <c r="J334" s="20" t="s">
        <v>30</v>
      </c>
      <c r="K334" s="20" t="s">
        <v>51</v>
      </c>
      <c r="L334" s="68">
        <v>12</v>
      </c>
      <c r="M334" s="72">
        <f t="shared" si="43"/>
        <v>105000</v>
      </c>
      <c r="N334" s="72">
        <f t="shared" si="45"/>
        <v>1260000</v>
      </c>
      <c r="O334" s="72">
        <f>M334*2</f>
        <v>210000</v>
      </c>
      <c r="P334" s="72">
        <f>M334*10*0.8</f>
        <v>840000</v>
      </c>
      <c r="Q334" s="72">
        <f t="shared" si="44"/>
        <v>12000</v>
      </c>
      <c r="R334" s="72">
        <f t="shared" si="46"/>
        <v>48000</v>
      </c>
      <c r="S334" s="13"/>
      <c r="T334" s="13"/>
      <c r="U334" s="13"/>
      <c r="V334" s="40"/>
      <c r="W334" s="13"/>
    </row>
    <row r="335" spans="1:23" ht="58.5" customHeight="1" x14ac:dyDescent="0.35">
      <c r="A335" s="14">
        <v>346</v>
      </c>
      <c r="B335" s="20" t="s">
        <v>901</v>
      </c>
      <c r="C335" s="20" t="s">
        <v>918</v>
      </c>
      <c r="D335" s="20" t="s">
        <v>919</v>
      </c>
      <c r="E335" s="20" t="s">
        <v>920</v>
      </c>
      <c r="F335" s="20" t="s">
        <v>921</v>
      </c>
      <c r="G335" s="20" t="s">
        <v>84</v>
      </c>
      <c r="H335" s="27">
        <v>0.05</v>
      </c>
      <c r="I335" s="20" t="s">
        <v>922</v>
      </c>
      <c r="J335" s="20" t="s">
        <v>30</v>
      </c>
      <c r="K335" s="20" t="s">
        <v>35</v>
      </c>
      <c r="L335" s="68">
        <v>5</v>
      </c>
      <c r="M335" s="72">
        <f t="shared" ref="M335:M343" si="48">H335*10000</f>
        <v>500</v>
      </c>
      <c r="N335" s="72">
        <f t="shared" si="45"/>
        <v>2500</v>
      </c>
      <c r="O335" s="72">
        <f t="shared" ref="O335:O343" si="49">M335*L335</f>
        <v>2500</v>
      </c>
      <c r="P335" s="72">
        <v>0</v>
      </c>
      <c r="Q335" s="72">
        <f t="shared" si="44"/>
        <v>0</v>
      </c>
      <c r="R335" s="72">
        <f t="shared" si="46"/>
        <v>0</v>
      </c>
      <c r="S335" s="13"/>
      <c r="T335" s="13"/>
      <c r="U335" s="13"/>
      <c r="V335" s="40"/>
      <c r="W335" s="13"/>
    </row>
    <row r="336" spans="1:23" ht="58.5" customHeight="1" x14ac:dyDescent="0.35">
      <c r="A336" s="14">
        <v>347</v>
      </c>
      <c r="B336" s="20" t="s">
        <v>901</v>
      </c>
      <c r="C336" s="20" t="s">
        <v>923</v>
      </c>
      <c r="D336" s="20" t="s">
        <v>428</v>
      </c>
      <c r="E336" s="20" t="s">
        <v>428</v>
      </c>
      <c r="F336" s="20" t="s">
        <v>924</v>
      </c>
      <c r="G336" s="20" t="s">
        <v>84</v>
      </c>
      <c r="H336" s="27">
        <v>0.03</v>
      </c>
      <c r="I336" s="20" t="s">
        <v>925</v>
      </c>
      <c r="J336" s="20" t="s">
        <v>30</v>
      </c>
      <c r="K336" s="20" t="s">
        <v>35</v>
      </c>
      <c r="L336" s="68">
        <v>5</v>
      </c>
      <c r="M336" s="72">
        <f t="shared" si="48"/>
        <v>300</v>
      </c>
      <c r="N336" s="72">
        <f t="shared" si="45"/>
        <v>1500</v>
      </c>
      <c r="O336" s="72">
        <f t="shared" si="49"/>
        <v>1500</v>
      </c>
      <c r="P336" s="72">
        <v>0</v>
      </c>
      <c r="Q336" s="72">
        <f t="shared" si="44"/>
        <v>0</v>
      </c>
      <c r="R336" s="72">
        <f t="shared" si="46"/>
        <v>0</v>
      </c>
      <c r="S336" s="13"/>
      <c r="T336" s="13"/>
      <c r="U336" s="13"/>
      <c r="V336" s="40"/>
      <c r="W336" s="13"/>
    </row>
    <row r="337" spans="1:23" ht="58.5" customHeight="1" x14ac:dyDescent="0.35">
      <c r="A337" s="14">
        <v>348</v>
      </c>
      <c r="B337" s="20" t="s">
        <v>901</v>
      </c>
      <c r="C337" s="20" t="s">
        <v>926</v>
      </c>
      <c r="D337" s="20" t="s">
        <v>422</v>
      </c>
      <c r="E337" s="20" t="s">
        <v>890</v>
      </c>
      <c r="F337" s="20" t="s">
        <v>927</v>
      </c>
      <c r="G337" s="20" t="s">
        <v>84</v>
      </c>
      <c r="H337" s="27">
        <v>0.13</v>
      </c>
      <c r="I337" s="20" t="s">
        <v>928</v>
      </c>
      <c r="J337" s="20" t="s">
        <v>30</v>
      </c>
      <c r="K337" s="20" t="s">
        <v>35</v>
      </c>
      <c r="L337" s="68">
        <v>5</v>
      </c>
      <c r="M337" s="72">
        <f t="shared" si="48"/>
        <v>1300</v>
      </c>
      <c r="N337" s="72">
        <f t="shared" si="45"/>
        <v>6500</v>
      </c>
      <c r="O337" s="72">
        <f t="shared" si="49"/>
        <v>6500</v>
      </c>
      <c r="P337" s="72">
        <v>0</v>
      </c>
      <c r="Q337" s="72">
        <f t="shared" si="44"/>
        <v>0</v>
      </c>
      <c r="R337" s="72">
        <f t="shared" si="46"/>
        <v>0</v>
      </c>
      <c r="S337" s="13"/>
      <c r="T337" s="13"/>
      <c r="U337" s="13"/>
      <c r="V337" s="40"/>
      <c r="W337" s="13"/>
    </row>
    <row r="338" spans="1:23" ht="58.5" customHeight="1" x14ac:dyDescent="0.35">
      <c r="A338" s="14">
        <v>349</v>
      </c>
      <c r="B338" s="20" t="s">
        <v>901</v>
      </c>
      <c r="C338" s="20" t="s">
        <v>929</v>
      </c>
      <c r="D338" s="20" t="s">
        <v>919</v>
      </c>
      <c r="E338" s="20" t="s">
        <v>782</v>
      </c>
      <c r="F338" s="20" t="s">
        <v>930</v>
      </c>
      <c r="G338" s="20" t="s">
        <v>84</v>
      </c>
      <c r="H338" s="27">
        <v>0.05</v>
      </c>
      <c r="I338" s="20" t="s">
        <v>931</v>
      </c>
      <c r="J338" s="20" t="s">
        <v>30</v>
      </c>
      <c r="K338" s="20" t="s">
        <v>35</v>
      </c>
      <c r="L338" s="68">
        <v>5</v>
      </c>
      <c r="M338" s="72">
        <f t="shared" si="48"/>
        <v>500</v>
      </c>
      <c r="N338" s="72">
        <f t="shared" si="45"/>
        <v>2500</v>
      </c>
      <c r="O338" s="72">
        <f t="shared" si="49"/>
        <v>2500</v>
      </c>
      <c r="P338" s="72">
        <v>0</v>
      </c>
      <c r="Q338" s="72">
        <f t="shared" si="44"/>
        <v>0</v>
      </c>
      <c r="R338" s="72">
        <f t="shared" si="46"/>
        <v>0</v>
      </c>
      <c r="S338" s="13"/>
      <c r="T338" s="13"/>
      <c r="U338" s="13"/>
      <c r="V338" s="40"/>
      <c r="W338" s="13"/>
    </row>
    <row r="339" spans="1:23" ht="58.5" customHeight="1" x14ac:dyDescent="0.35">
      <c r="A339" s="14">
        <v>350</v>
      </c>
      <c r="B339" s="20" t="s">
        <v>901</v>
      </c>
      <c r="C339" s="20" t="s">
        <v>932</v>
      </c>
      <c r="D339" s="20" t="s">
        <v>933</v>
      </c>
      <c r="E339" s="20" t="s">
        <v>782</v>
      </c>
      <c r="F339" s="20" t="s">
        <v>934</v>
      </c>
      <c r="G339" s="20" t="s">
        <v>84</v>
      </c>
      <c r="H339" s="27">
        <v>0.05</v>
      </c>
      <c r="I339" s="20" t="s">
        <v>935</v>
      </c>
      <c r="J339" s="20" t="s">
        <v>30</v>
      </c>
      <c r="K339" s="20" t="s">
        <v>35</v>
      </c>
      <c r="L339" s="68">
        <v>5</v>
      </c>
      <c r="M339" s="72">
        <f t="shared" si="48"/>
        <v>500</v>
      </c>
      <c r="N339" s="72">
        <f t="shared" si="45"/>
        <v>2500</v>
      </c>
      <c r="O339" s="72">
        <f t="shared" si="49"/>
        <v>2500</v>
      </c>
      <c r="P339" s="72">
        <v>0</v>
      </c>
      <c r="Q339" s="72">
        <f t="shared" ref="Q339:Q370" si="50">P339/70</f>
        <v>0</v>
      </c>
      <c r="R339" s="72">
        <f t="shared" si="46"/>
        <v>0</v>
      </c>
      <c r="S339" s="13"/>
      <c r="T339" s="13"/>
      <c r="U339" s="13"/>
      <c r="V339" s="40"/>
      <c r="W339" s="13"/>
    </row>
    <row r="340" spans="1:23" ht="58.5" customHeight="1" x14ac:dyDescent="0.35">
      <c r="A340" s="14">
        <v>351</v>
      </c>
      <c r="B340" s="20" t="s">
        <v>901</v>
      </c>
      <c r="C340" s="20" t="s">
        <v>936</v>
      </c>
      <c r="D340" s="20" t="s">
        <v>422</v>
      </c>
      <c r="E340" s="20" t="s">
        <v>782</v>
      </c>
      <c r="F340" s="20" t="s">
        <v>937</v>
      </c>
      <c r="G340" s="20" t="s">
        <v>84</v>
      </c>
      <c r="H340" s="27">
        <v>0.04</v>
      </c>
      <c r="I340" s="20" t="s">
        <v>938</v>
      </c>
      <c r="J340" s="20" t="s">
        <v>30</v>
      </c>
      <c r="K340" s="20" t="s">
        <v>35</v>
      </c>
      <c r="L340" s="68">
        <v>5</v>
      </c>
      <c r="M340" s="72">
        <f t="shared" si="48"/>
        <v>400</v>
      </c>
      <c r="N340" s="72">
        <f t="shared" si="45"/>
        <v>2000</v>
      </c>
      <c r="O340" s="72">
        <f t="shared" si="49"/>
        <v>2000</v>
      </c>
      <c r="P340" s="72">
        <v>0</v>
      </c>
      <c r="Q340" s="72">
        <f t="shared" si="50"/>
        <v>0</v>
      </c>
      <c r="R340" s="72">
        <f t="shared" si="46"/>
        <v>0</v>
      </c>
      <c r="S340" s="13"/>
      <c r="T340" s="13"/>
      <c r="U340" s="13"/>
      <c r="V340" s="40"/>
      <c r="W340" s="13"/>
    </row>
    <row r="341" spans="1:23" ht="58.5" customHeight="1" x14ac:dyDescent="0.35">
      <c r="A341" s="14">
        <v>352</v>
      </c>
      <c r="B341" s="20" t="s">
        <v>901</v>
      </c>
      <c r="C341" s="20" t="s">
        <v>939</v>
      </c>
      <c r="D341" s="20" t="s">
        <v>422</v>
      </c>
      <c r="E341" s="20" t="s">
        <v>27</v>
      </c>
      <c r="F341" s="20" t="s">
        <v>940</v>
      </c>
      <c r="G341" s="20" t="s">
        <v>84</v>
      </c>
      <c r="H341" s="27">
        <v>2.5000000000000001E-2</v>
      </c>
      <c r="I341" s="92" t="s">
        <v>1212</v>
      </c>
      <c r="J341" s="20" t="s">
        <v>30</v>
      </c>
      <c r="K341" s="20" t="s">
        <v>35</v>
      </c>
      <c r="L341" s="68">
        <v>5</v>
      </c>
      <c r="M341" s="72">
        <f t="shared" si="48"/>
        <v>250</v>
      </c>
      <c r="N341" s="72">
        <f t="shared" si="45"/>
        <v>1250</v>
      </c>
      <c r="O341" s="72">
        <f t="shared" si="49"/>
        <v>1250</v>
      </c>
      <c r="P341" s="72">
        <v>0</v>
      </c>
      <c r="Q341" s="72">
        <f t="shared" si="50"/>
        <v>0</v>
      </c>
      <c r="R341" s="72">
        <f t="shared" si="46"/>
        <v>0</v>
      </c>
      <c r="S341" s="13"/>
      <c r="T341" s="13"/>
      <c r="U341" s="13"/>
      <c r="V341" s="40"/>
      <c r="W341" s="13"/>
    </row>
    <row r="342" spans="1:23" ht="58.5" customHeight="1" x14ac:dyDescent="0.35">
      <c r="A342" s="14">
        <v>353</v>
      </c>
      <c r="B342" s="20" t="s">
        <v>901</v>
      </c>
      <c r="C342" s="20" t="s">
        <v>941</v>
      </c>
      <c r="D342" s="20" t="s">
        <v>422</v>
      </c>
      <c r="E342" s="20" t="s">
        <v>782</v>
      </c>
      <c r="F342" s="20" t="s">
        <v>942</v>
      </c>
      <c r="G342" s="20" t="s">
        <v>84</v>
      </c>
      <c r="H342" s="27">
        <v>0.05</v>
      </c>
      <c r="I342" s="20" t="s">
        <v>943</v>
      </c>
      <c r="J342" s="20" t="s">
        <v>30</v>
      </c>
      <c r="K342" s="20" t="s">
        <v>35</v>
      </c>
      <c r="L342" s="68">
        <v>5</v>
      </c>
      <c r="M342" s="72">
        <f t="shared" si="48"/>
        <v>500</v>
      </c>
      <c r="N342" s="72">
        <f t="shared" si="45"/>
        <v>2500</v>
      </c>
      <c r="O342" s="72">
        <f t="shared" si="49"/>
        <v>2500</v>
      </c>
      <c r="P342" s="72">
        <v>0</v>
      </c>
      <c r="Q342" s="72">
        <f t="shared" si="50"/>
        <v>0</v>
      </c>
      <c r="R342" s="72">
        <f t="shared" si="46"/>
        <v>0</v>
      </c>
      <c r="S342" s="13"/>
      <c r="T342" s="13"/>
      <c r="U342" s="13"/>
      <c r="V342" s="40"/>
      <c r="W342" s="13"/>
    </row>
    <row r="343" spans="1:23" ht="58.5" customHeight="1" x14ac:dyDescent="0.35">
      <c r="A343" s="14">
        <v>354</v>
      </c>
      <c r="B343" s="20" t="s">
        <v>901</v>
      </c>
      <c r="C343" s="20" t="s">
        <v>944</v>
      </c>
      <c r="D343" s="20" t="s">
        <v>422</v>
      </c>
      <c r="E343" s="20" t="s">
        <v>27</v>
      </c>
      <c r="F343" s="20" t="s">
        <v>945</v>
      </c>
      <c r="G343" s="20" t="s">
        <v>84</v>
      </c>
      <c r="H343" s="27">
        <v>0.04</v>
      </c>
      <c r="I343" s="92" t="s">
        <v>1211</v>
      </c>
      <c r="J343" s="20" t="s">
        <v>30</v>
      </c>
      <c r="K343" s="20" t="s">
        <v>35</v>
      </c>
      <c r="L343" s="68">
        <v>3</v>
      </c>
      <c r="M343" s="72">
        <f t="shared" si="48"/>
        <v>400</v>
      </c>
      <c r="N343" s="72">
        <f t="shared" si="45"/>
        <v>1200</v>
      </c>
      <c r="O343" s="72">
        <f t="shared" si="49"/>
        <v>1200</v>
      </c>
      <c r="P343" s="72">
        <v>0</v>
      </c>
      <c r="Q343" s="72">
        <f t="shared" si="50"/>
        <v>0</v>
      </c>
      <c r="R343" s="72">
        <f t="shared" si="46"/>
        <v>0</v>
      </c>
      <c r="S343" s="13"/>
      <c r="T343" s="13"/>
      <c r="U343" s="13"/>
      <c r="V343" s="40"/>
      <c r="W343" s="13"/>
    </row>
    <row r="344" spans="1:23" ht="58.5" customHeight="1" x14ac:dyDescent="0.35">
      <c r="A344" s="14">
        <v>355</v>
      </c>
      <c r="B344" s="20" t="s">
        <v>901</v>
      </c>
      <c r="C344" s="20" t="s">
        <v>946</v>
      </c>
      <c r="D344" s="20" t="s">
        <v>422</v>
      </c>
      <c r="E344" s="20" t="s">
        <v>57</v>
      </c>
      <c r="F344" s="20" t="s">
        <v>947</v>
      </c>
      <c r="G344" s="20" t="s">
        <v>23</v>
      </c>
      <c r="H344" s="27">
        <v>2.5499999999999998</v>
      </c>
      <c r="I344" s="92" t="s">
        <v>1210</v>
      </c>
      <c r="J344" s="20" t="s">
        <v>24</v>
      </c>
      <c r="K344" s="20" t="s">
        <v>25</v>
      </c>
      <c r="L344" s="68">
        <v>13</v>
      </c>
      <c r="M344" s="72">
        <f t="shared" ref="M344:M380" si="51">H344*10000*0.25</f>
        <v>6375</v>
      </c>
      <c r="N344" s="72">
        <f t="shared" si="45"/>
        <v>82875</v>
      </c>
      <c r="O344" s="72">
        <f>M344*3</f>
        <v>19125</v>
      </c>
      <c r="P344" s="72">
        <f>M344*10*0.8</f>
        <v>51000</v>
      </c>
      <c r="Q344" s="72">
        <f t="shared" si="50"/>
        <v>728.57142857142856</v>
      </c>
      <c r="R344" s="72">
        <f t="shared" si="46"/>
        <v>2914.2857142857142</v>
      </c>
      <c r="S344" s="13"/>
      <c r="T344" s="13"/>
      <c r="U344" s="13"/>
      <c r="V344" s="40"/>
      <c r="W344" s="13"/>
    </row>
    <row r="345" spans="1:23" ht="58.5" customHeight="1" x14ac:dyDescent="0.35">
      <c r="A345" s="14">
        <v>356</v>
      </c>
      <c r="B345" s="20" t="s">
        <v>901</v>
      </c>
      <c r="C345" s="20" t="s">
        <v>948</v>
      </c>
      <c r="D345" s="20" t="s">
        <v>422</v>
      </c>
      <c r="E345" s="20" t="s">
        <v>949</v>
      </c>
      <c r="F345" s="20" t="s">
        <v>950</v>
      </c>
      <c r="G345" s="20" t="s">
        <v>529</v>
      </c>
      <c r="H345" s="14">
        <v>2</v>
      </c>
      <c r="I345" s="20" t="s">
        <v>951</v>
      </c>
      <c r="J345" s="20" t="s">
        <v>30</v>
      </c>
      <c r="K345" s="20" t="s">
        <v>25</v>
      </c>
      <c r="L345" s="68">
        <v>8</v>
      </c>
      <c r="M345" s="72">
        <f t="shared" si="51"/>
        <v>5000</v>
      </c>
      <c r="N345" s="72">
        <f t="shared" si="45"/>
        <v>40000</v>
      </c>
      <c r="O345" s="72">
        <f>M345*L345</f>
        <v>40000</v>
      </c>
      <c r="P345" s="72">
        <v>0</v>
      </c>
      <c r="Q345" s="72">
        <f t="shared" si="50"/>
        <v>0</v>
      </c>
      <c r="R345" s="72">
        <f t="shared" ref="R345:R376" si="52">Q345*4</f>
        <v>0</v>
      </c>
      <c r="S345" s="13"/>
      <c r="T345" s="13"/>
      <c r="U345" s="13"/>
      <c r="V345" s="40"/>
      <c r="W345" s="13"/>
    </row>
    <row r="346" spans="1:23" ht="58.5" customHeight="1" x14ac:dyDescent="0.35">
      <c r="A346" s="14">
        <v>357</v>
      </c>
      <c r="B346" s="20" t="s">
        <v>901</v>
      </c>
      <c r="C346" s="20" t="s">
        <v>952</v>
      </c>
      <c r="D346" s="20" t="s">
        <v>422</v>
      </c>
      <c r="E346" s="20" t="s">
        <v>949</v>
      </c>
      <c r="F346" s="20" t="s">
        <v>953</v>
      </c>
      <c r="G346" s="20" t="s">
        <v>23</v>
      </c>
      <c r="H346" s="27">
        <v>0.57999999999999996</v>
      </c>
      <c r="I346" s="20" t="s">
        <v>954</v>
      </c>
      <c r="J346" s="20" t="s">
        <v>30</v>
      </c>
      <c r="K346" s="20" t="s">
        <v>25</v>
      </c>
      <c r="L346" s="68">
        <v>8</v>
      </c>
      <c r="M346" s="72">
        <f t="shared" si="51"/>
        <v>1450</v>
      </c>
      <c r="N346" s="72">
        <f t="shared" si="45"/>
        <v>11600</v>
      </c>
      <c r="O346" s="72">
        <f>M346*2</f>
        <v>2900</v>
      </c>
      <c r="P346" s="72">
        <f>M346*6*0.8</f>
        <v>6960</v>
      </c>
      <c r="Q346" s="72">
        <f t="shared" si="50"/>
        <v>99.428571428571431</v>
      </c>
      <c r="R346" s="72">
        <f t="shared" si="52"/>
        <v>397.71428571428572</v>
      </c>
      <c r="S346" s="13"/>
      <c r="T346" s="13"/>
      <c r="U346" s="13"/>
      <c r="V346" s="40"/>
      <c r="W346" s="13"/>
    </row>
    <row r="347" spans="1:23" ht="58.5" customHeight="1" x14ac:dyDescent="0.35">
      <c r="A347" s="14">
        <v>358</v>
      </c>
      <c r="B347" s="20" t="s">
        <v>901</v>
      </c>
      <c r="C347" s="20" t="s">
        <v>955</v>
      </c>
      <c r="D347" s="20" t="s">
        <v>933</v>
      </c>
      <c r="E347" s="20" t="s">
        <v>956</v>
      </c>
      <c r="F347" s="20" t="s">
        <v>957</v>
      </c>
      <c r="G347" s="20" t="s">
        <v>251</v>
      </c>
      <c r="H347" s="27">
        <v>8.5000000000000006E-2</v>
      </c>
      <c r="I347" s="92" t="s">
        <v>1209</v>
      </c>
      <c r="J347" s="20" t="s">
        <v>30</v>
      </c>
      <c r="K347" s="20" t="s">
        <v>25</v>
      </c>
      <c r="L347" s="68">
        <v>3</v>
      </c>
      <c r="M347" s="72">
        <f t="shared" si="51"/>
        <v>212.50000000000003</v>
      </c>
      <c r="N347" s="72">
        <f t="shared" si="45"/>
        <v>637.50000000000011</v>
      </c>
      <c r="O347" s="72">
        <f>M347*L347</f>
        <v>637.50000000000011</v>
      </c>
      <c r="P347" s="72">
        <v>0</v>
      </c>
      <c r="Q347" s="72">
        <f t="shared" si="50"/>
        <v>0</v>
      </c>
      <c r="R347" s="72">
        <f t="shared" si="52"/>
        <v>0</v>
      </c>
      <c r="S347" s="13"/>
      <c r="T347" s="13"/>
      <c r="U347" s="13"/>
      <c r="V347" s="40"/>
      <c r="W347" s="13"/>
    </row>
    <row r="348" spans="1:23" ht="58.5" customHeight="1" x14ac:dyDescent="0.35">
      <c r="A348" s="14">
        <v>359</v>
      </c>
      <c r="B348" s="20" t="s">
        <v>901</v>
      </c>
      <c r="C348" s="20" t="s">
        <v>958</v>
      </c>
      <c r="D348" s="20" t="s">
        <v>422</v>
      </c>
      <c r="E348" s="20" t="s">
        <v>27</v>
      </c>
      <c r="F348" s="20" t="s">
        <v>959</v>
      </c>
      <c r="G348" s="20" t="s">
        <v>29</v>
      </c>
      <c r="H348" s="27">
        <v>0.06</v>
      </c>
      <c r="I348" s="20" t="s">
        <v>960</v>
      </c>
      <c r="J348" s="20" t="s">
        <v>30</v>
      </c>
      <c r="K348" s="20" t="s">
        <v>25</v>
      </c>
      <c r="L348" s="68">
        <v>3</v>
      </c>
      <c r="M348" s="72">
        <f t="shared" si="51"/>
        <v>150</v>
      </c>
      <c r="N348" s="72">
        <f t="shared" si="45"/>
        <v>450</v>
      </c>
      <c r="O348" s="72">
        <f>M348*L348</f>
        <v>450</v>
      </c>
      <c r="P348" s="72">
        <v>0</v>
      </c>
      <c r="Q348" s="72">
        <f t="shared" si="50"/>
        <v>0</v>
      </c>
      <c r="R348" s="72">
        <f t="shared" si="52"/>
        <v>0</v>
      </c>
      <c r="S348" s="13"/>
      <c r="T348" s="13"/>
      <c r="U348" s="13"/>
      <c r="V348" s="40"/>
      <c r="W348" s="13"/>
    </row>
    <row r="349" spans="1:23" ht="58.5" customHeight="1" x14ac:dyDescent="0.35">
      <c r="A349" s="14">
        <v>360</v>
      </c>
      <c r="B349" s="20" t="s">
        <v>901</v>
      </c>
      <c r="C349" s="20" t="s">
        <v>961</v>
      </c>
      <c r="D349" s="20" t="s">
        <v>422</v>
      </c>
      <c r="E349" s="20" t="s">
        <v>27</v>
      </c>
      <c r="F349" s="20" t="s">
        <v>959</v>
      </c>
      <c r="G349" s="20" t="s">
        <v>29</v>
      </c>
      <c r="H349" s="27">
        <v>0.05</v>
      </c>
      <c r="I349" s="20" t="s">
        <v>962</v>
      </c>
      <c r="J349" s="20" t="s">
        <v>30</v>
      </c>
      <c r="K349" s="20" t="s">
        <v>25</v>
      </c>
      <c r="L349" s="68">
        <v>3</v>
      </c>
      <c r="M349" s="72">
        <f t="shared" si="51"/>
        <v>125</v>
      </c>
      <c r="N349" s="72">
        <f t="shared" si="45"/>
        <v>375</v>
      </c>
      <c r="O349" s="72">
        <f>M349*L349</f>
        <v>375</v>
      </c>
      <c r="P349" s="72">
        <v>0</v>
      </c>
      <c r="Q349" s="72">
        <f t="shared" si="50"/>
        <v>0</v>
      </c>
      <c r="R349" s="72">
        <f t="shared" si="52"/>
        <v>0</v>
      </c>
      <c r="S349" s="13"/>
      <c r="T349" s="13"/>
      <c r="U349" s="13"/>
      <c r="V349" s="40"/>
      <c r="W349" s="13"/>
    </row>
    <row r="350" spans="1:23" ht="58.5" customHeight="1" x14ac:dyDescent="0.35">
      <c r="A350" s="14">
        <v>361</v>
      </c>
      <c r="B350" s="20" t="s">
        <v>901</v>
      </c>
      <c r="C350" s="20" t="s">
        <v>963</v>
      </c>
      <c r="D350" s="20" t="s">
        <v>964</v>
      </c>
      <c r="E350" s="20" t="s">
        <v>33</v>
      </c>
      <c r="F350" s="20" t="s">
        <v>965</v>
      </c>
      <c r="G350" s="20" t="s">
        <v>23</v>
      </c>
      <c r="H350" s="27">
        <v>0.35</v>
      </c>
      <c r="I350" s="20" t="s">
        <v>966</v>
      </c>
      <c r="J350" s="20" t="s">
        <v>30</v>
      </c>
      <c r="K350" s="20" t="s">
        <v>25</v>
      </c>
      <c r="L350" s="68">
        <v>12</v>
      </c>
      <c r="M350" s="72">
        <f t="shared" si="51"/>
        <v>875</v>
      </c>
      <c r="N350" s="72">
        <f t="shared" si="45"/>
        <v>10500</v>
      </c>
      <c r="O350" s="72">
        <f>M350*2</f>
        <v>1750</v>
      </c>
      <c r="P350" s="72">
        <f>M350*10*0.8</f>
        <v>7000</v>
      </c>
      <c r="Q350" s="72">
        <f t="shared" si="50"/>
        <v>100</v>
      </c>
      <c r="R350" s="72">
        <f t="shared" si="52"/>
        <v>400</v>
      </c>
      <c r="S350" s="13"/>
      <c r="T350" s="13"/>
      <c r="U350" s="13"/>
      <c r="V350" s="40"/>
      <c r="W350" s="13"/>
    </row>
    <row r="351" spans="1:23" ht="58.5" customHeight="1" x14ac:dyDescent="0.35">
      <c r="A351" s="14">
        <v>362</v>
      </c>
      <c r="B351" s="20" t="s">
        <v>901</v>
      </c>
      <c r="C351" s="20" t="s">
        <v>967</v>
      </c>
      <c r="D351" s="20" t="s">
        <v>964</v>
      </c>
      <c r="E351" s="20" t="s">
        <v>968</v>
      </c>
      <c r="F351" s="20" t="s">
        <v>959</v>
      </c>
      <c r="G351" s="20" t="s">
        <v>29</v>
      </c>
      <c r="H351" s="27">
        <v>1.4999999999999999E-2</v>
      </c>
      <c r="I351" s="20" t="s">
        <v>969</v>
      </c>
      <c r="J351" s="20" t="s">
        <v>30</v>
      </c>
      <c r="K351" s="20" t="s">
        <v>25</v>
      </c>
      <c r="L351" s="68">
        <v>2</v>
      </c>
      <c r="M351" s="72">
        <f t="shared" si="51"/>
        <v>37.5</v>
      </c>
      <c r="N351" s="72">
        <f t="shared" si="45"/>
        <v>75</v>
      </c>
      <c r="O351" s="72">
        <f>M351*L351</f>
        <v>75</v>
      </c>
      <c r="P351" s="72">
        <v>0</v>
      </c>
      <c r="Q351" s="72">
        <f t="shared" si="50"/>
        <v>0</v>
      </c>
      <c r="R351" s="72">
        <f t="shared" si="52"/>
        <v>0</v>
      </c>
      <c r="S351" s="13"/>
      <c r="T351" s="13"/>
      <c r="U351" s="13"/>
      <c r="V351" s="40"/>
      <c r="W351" s="13"/>
    </row>
    <row r="352" spans="1:23" ht="58.5" customHeight="1" x14ac:dyDescent="0.35">
      <c r="A352" s="14">
        <v>363</v>
      </c>
      <c r="B352" s="20" t="s">
        <v>901</v>
      </c>
      <c r="C352" s="20" t="s">
        <v>970</v>
      </c>
      <c r="D352" s="20" t="s">
        <v>971</v>
      </c>
      <c r="E352" s="20" t="s">
        <v>644</v>
      </c>
      <c r="F352" s="20" t="s">
        <v>972</v>
      </c>
      <c r="G352" s="20" t="s">
        <v>23</v>
      </c>
      <c r="H352" s="27">
        <v>0.32500000000000001</v>
      </c>
      <c r="I352" s="92" t="s">
        <v>1208</v>
      </c>
      <c r="J352" s="20" t="s">
        <v>30</v>
      </c>
      <c r="K352" s="20" t="s">
        <v>35</v>
      </c>
      <c r="L352" s="68">
        <v>5</v>
      </c>
      <c r="M352" s="72">
        <f t="shared" si="51"/>
        <v>812.5</v>
      </c>
      <c r="N352" s="72">
        <f t="shared" si="45"/>
        <v>4062.5</v>
      </c>
      <c r="O352" s="72">
        <f>M352*2</f>
        <v>1625</v>
      </c>
      <c r="P352" s="72">
        <f>M352*4*0.8</f>
        <v>2600</v>
      </c>
      <c r="Q352" s="72">
        <f t="shared" si="50"/>
        <v>37.142857142857146</v>
      </c>
      <c r="R352" s="72">
        <f t="shared" si="52"/>
        <v>148.57142857142858</v>
      </c>
      <c r="S352" s="13"/>
      <c r="T352" s="13"/>
      <c r="U352" s="13"/>
      <c r="V352" s="40"/>
      <c r="W352" s="13"/>
    </row>
    <row r="353" spans="1:23" ht="58.5" customHeight="1" x14ac:dyDescent="0.35">
      <c r="A353" s="14">
        <v>364</v>
      </c>
      <c r="B353" s="20" t="s">
        <v>901</v>
      </c>
      <c r="C353" s="20" t="s">
        <v>973</v>
      </c>
      <c r="D353" s="20" t="s">
        <v>422</v>
      </c>
      <c r="E353" s="20" t="s">
        <v>956</v>
      </c>
      <c r="F353" s="20" t="s">
        <v>974</v>
      </c>
      <c r="G353" s="20" t="s">
        <v>29</v>
      </c>
      <c r="H353" s="27">
        <v>0.96</v>
      </c>
      <c r="I353" s="92" t="s">
        <v>1207</v>
      </c>
      <c r="J353" s="20" t="s">
        <v>24</v>
      </c>
      <c r="K353" s="20" t="s">
        <v>35</v>
      </c>
      <c r="L353" s="68">
        <v>3</v>
      </c>
      <c r="M353" s="72">
        <f t="shared" si="51"/>
        <v>2400</v>
      </c>
      <c r="N353" s="72">
        <f t="shared" si="45"/>
        <v>7200</v>
      </c>
      <c r="O353" s="72">
        <f>M353*L353</f>
        <v>7200</v>
      </c>
      <c r="P353" s="72">
        <v>0</v>
      </c>
      <c r="Q353" s="72">
        <f t="shared" si="50"/>
        <v>0</v>
      </c>
      <c r="R353" s="72">
        <f t="shared" si="52"/>
        <v>0</v>
      </c>
      <c r="S353" s="13"/>
      <c r="T353" s="13"/>
      <c r="U353" s="13"/>
      <c r="V353" s="40"/>
      <c r="W353" s="13"/>
    </row>
    <row r="354" spans="1:23" ht="58.5" customHeight="1" x14ac:dyDescent="0.35">
      <c r="A354" s="14">
        <v>365</v>
      </c>
      <c r="B354" s="20" t="s">
        <v>901</v>
      </c>
      <c r="C354" s="20" t="s">
        <v>975</v>
      </c>
      <c r="D354" s="20" t="s">
        <v>976</v>
      </c>
      <c r="E354" s="20" t="s">
        <v>49</v>
      </c>
      <c r="F354" s="20" t="s">
        <v>972</v>
      </c>
      <c r="G354" s="20" t="s">
        <v>23</v>
      </c>
      <c r="H354" s="27">
        <v>0.4</v>
      </c>
      <c r="I354" s="92" t="s">
        <v>1206</v>
      </c>
      <c r="J354" s="20" t="s">
        <v>30</v>
      </c>
      <c r="K354" s="20" t="s">
        <v>35</v>
      </c>
      <c r="L354" s="68">
        <v>10</v>
      </c>
      <c r="M354" s="72">
        <f t="shared" si="51"/>
        <v>1000</v>
      </c>
      <c r="N354" s="72">
        <f t="shared" si="45"/>
        <v>10000</v>
      </c>
      <c r="O354" s="72">
        <f>M354*2</f>
        <v>2000</v>
      </c>
      <c r="P354" s="72">
        <f>M354*8*0.8</f>
        <v>6400</v>
      </c>
      <c r="Q354" s="72">
        <f t="shared" si="50"/>
        <v>91.428571428571431</v>
      </c>
      <c r="R354" s="72">
        <f t="shared" si="52"/>
        <v>365.71428571428572</v>
      </c>
      <c r="S354" s="13"/>
      <c r="T354" s="13"/>
      <c r="U354" s="13"/>
      <c r="V354" s="40"/>
      <c r="W354" s="13"/>
    </row>
    <row r="355" spans="1:23" ht="58.5" customHeight="1" x14ac:dyDescent="0.35">
      <c r="A355" s="14">
        <v>366</v>
      </c>
      <c r="B355" s="20" t="s">
        <v>901</v>
      </c>
      <c r="C355" s="20" t="s">
        <v>977</v>
      </c>
      <c r="D355" s="20" t="s">
        <v>971</v>
      </c>
      <c r="E355" s="20" t="s">
        <v>49</v>
      </c>
      <c r="F355" s="20" t="s">
        <v>972</v>
      </c>
      <c r="G355" s="20" t="s">
        <v>23</v>
      </c>
      <c r="H355" s="27">
        <v>2.4</v>
      </c>
      <c r="I355" s="92" t="s">
        <v>1205</v>
      </c>
      <c r="J355" s="20" t="s">
        <v>30</v>
      </c>
      <c r="K355" s="20" t="s">
        <v>35</v>
      </c>
      <c r="L355" s="68">
        <v>10</v>
      </c>
      <c r="M355" s="72">
        <f t="shared" si="51"/>
        <v>6000</v>
      </c>
      <c r="N355" s="72">
        <f t="shared" si="45"/>
        <v>60000</v>
      </c>
      <c r="O355" s="72">
        <f>M355*2</f>
        <v>12000</v>
      </c>
      <c r="P355" s="72">
        <f>M355*8*0.8</f>
        <v>38400</v>
      </c>
      <c r="Q355" s="72">
        <f t="shared" si="50"/>
        <v>548.57142857142856</v>
      </c>
      <c r="R355" s="72">
        <f t="shared" si="52"/>
        <v>2194.2857142857142</v>
      </c>
      <c r="S355" s="13"/>
      <c r="T355" s="13"/>
      <c r="U355" s="13"/>
      <c r="V355" s="40"/>
      <c r="W355" s="13"/>
    </row>
    <row r="356" spans="1:23" ht="58.5" customHeight="1" x14ac:dyDescent="0.35">
      <c r="A356" s="14">
        <v>367</v>
      </c>
      <c r="B356" s="20" t="s">
        <v>901</v>
      </c>
      <c r="C356" s="20" t="s">
        <v>978</v>
      </c>
      <c r="D356" s="20" t="s">
        <v>976</v>
      </c>
      <c r="E356" s="20" t="s">
        <v>60</v>
      </c>
      <c r="F356" s="20" t="s">
        <v>972</v>
      </c>
      <c r="G356" s="20" t="s">
        <v>23</v>
      </c>
      <c r="H356" s="27">
        <v>2.65</v>
      </c>
      <c r="I356" s="92" t="s">
        <v>1204</v>
      </c>
      <c r="J356" s="20" t="s">
        <v>30</v>
      </c>
      <c r="K356" s="20" t="s">
        <v>35</v>
      </c>
      <c r="L356" s="68">
        <v>8</v>
      </c>
      <c r="M356" s="72">
        <f t="shared" si="51"/>
        <v>6625</v>
      </c>
      <c r="N356" s="72">
        <f t="shared" si="45"/>
        <v>53000</v>
      </c>
      <c r="O356" s="72">
        <f>M356*2</f>
        <v>13250</v>
      </c>
      <c r="P356" s="72">
        <f>M356*6*0.8</f>
        <v>31800</v>
      </c>
      <c r="Q356" s="72">
        <f t="shared" si="50"/>
        <v>454.28571428571428</v>
      </c>
      <c r="R356" s="72">
        <f t="shared" si="52"/>
        <v>1817.1428571428571</v>
      </c>
      <c r="S356" s="13"/>
      <c r="T356" s="13"/>
      <c r="U356" s="13"/>
      <c r="V356" s="40"/>
      <c r="W356" s="13"/>
    </row>
    <row r="357" spans="1:23" ht="58.5" customHeight="1" x14ac:dyDescent="0.35">
      <c r="A357" s="14">
        <v>368</v>
      </c>
      <c r="B357" s="20" t="s">
        <v>901</v>
      </c>
      <c r="C357" s="20" t="s">
        <v>979</v>
      </c>
      <c r="D357" s="20" t="s">
        <v>971</v>
      </c>
      <c r="E357" s="20" t="s">
        <v>49</v>
      </c>
      <c r="F357" s="20" t="s">
        <v>972</v>
      </c>
      <c r="G357" s="20" t="s">
        <v>23</v>
      </c>
      <c r="H357" s="27">
        <v>0.84</v>
      </c>
      <c r="I357" s="92" t="s">
        <v>1203</v>
      </c>
      <c r="J357" s="20" t="s">
        <v>30</v>
      </c>
      <c r="K357" s="20" t="s">
        <v>35</v>
      </c>
      <c r="L357" s="68">
        <v>10</v>
      </c>
      <c r="M357" s="72">
        <f t="shared" si="51"/>
        <v>2100</v>
      </c>
      <c r="N357" s="72">
        <f t="shared" si="45"/>
        <v>21000</v>
      </c>
      <c r="O357" s="72">
        <f>M357*2</f>
        <v>4200</v>
      </c>
      <c r="P357" s="72">
        <f>M357*8*0.8</f>
        <v>13440</v>
      </c>
      <c r="Q357" s="72">
        <f t="shared" si="50"/>
        <v>192</v>
      </c>
      <c r="R357" s="72">
        <f t="shared" si="52"/>
        <v>768</v>
      </c>
      <c r="S357" s="13"/>
      <c r="T357" s="13"/>
      <c r="U357" s="13"/>
      <c r="V357" s="40"/>
      <c r="W357" s="13"/>
    </row>
    <row r="358" spans="1:23" ht="58.5" customHeight="1" x14ac:dyDescent="0.35">
      <c r="A358" s="14">
        <v>369</v>
      </c>
      <c r="B358" s="20" t="s">
        <v>901</v>
      </c>
      <c r="C358" s="20" t="s">
        <v>980</v>
      </c>
      <c r="D358" s="20" t="s">
        <v>971</v>
      </c>
      <c r="E358" s="20" t="s">
        <v>981</v>
      </c>
      <c r="F358" s="20" t="s">
        <v>972</v>
      </c>
      <c r="G358" s="20" t="s">
        <v>29</v>
      </c>
      <c r="H358" s="27">
        <v>1.137</v>
      </c>
      <c r="I358" s="92" t="s">
        <v>1202</v>
      </c>
      <c r="J358" s="20" t="s">
        <v>30</v>
      </c>
      <c r="K358" s="20" t="s">
        <v>35</v>
      </c>
      <c r="L358" s="68">
        <v>13</v>
      </c>
      <c r="M358" s="72">
        <f t="shared" si="51"/>
        <v>2842.5</v>
      </c>
      <c r="N358" s="72">
        <f t="shared" si="45"/>
        <v>36952.5</v>
      </c>
      <c r="O358" s="72">
        <f>M358*L358</f>
        <v>36952.5</v>
      </c>
      <c r="P358" s="72">
        <v>0</v>
      </c>
      <c r="Q358" s="72">
        <f t="shared" si="50"/>
        <v>0</v>
      </c>
      <c r="R358" s="72">
        <f t="shared" si="52"/>
        <v>0</v>
      </c>
      <c r="S358" s="13"/>
      <c r="T358" s="13"/>
      <c r="U358" s="13"/>
      <c r="V358" s="40"/>
      <c r="W358" s="13"/>
    </row>
    <row r="359" spans="1:23" ht="58.5" customHeight="1" x14ac:dyDescent="0.35">
      <c r="A359" s="14">
        <v>370</v>
      </c>
      <c r="B359" s="20" t="s">
        <v>901</v>
      </c>
      <c r="C359" s="20" t="s">
        <v>982</v>
      </c>
      <c r="D359" s="20" t="s">
        <v>971</v>
      </c>
      <c r="E359" s="20" t="s">
        <v>49</v>
      </c>
      <c r="F359" s="20" t="s">
        <v>983</v>
      </c>
      <c r="G359" s="20" t="s">
        <v>29</v>
      </c>
      <c r="H359" s="27">
        <v>0.35</v>
      </c>
      <c r="I359" s="20" t="s">
        <v>984</v>
      </c>
      <c r="J359" s="20" t="s">
        <v>30</v>
      </c>
      <c r="K359" s="20" t="s">
        <v>35</v>
      </c>
      <c r="L359" s="68">
        <v>12</v>
      </c>
      <c r="M359" s="72">
        <f t="shared" si="51"/>
        <v>875</v>
      </c>
      <c r="N359" s="72">
        <f t="shared" si="45"/>
        <v>10500</v>
      </c>
      <c r="O359" s="72">
        <f>M359*L359</f>
        <v>10500</v>
      </c>
      <c r="P359" s="72">
        <v>0</v>
      </c>
      <c r="Q359" s="72">
        <f t="shared" si="50"/>
        <v>0</v>
      </c>
      <c r="R359" s="72">
        <f t="shared" si="52"/>
        <v>0</v>
      </c>
      <c r="S359" s="13"/>
      <c r="T359" s="13"/>
      <c r="U359" s="13"/>
      <c r="V359" s="40"/>
      <c r="W359" s="13"/>
    </row>
    <row r="360" spans="1:23" ht="58.5" customHeight="1" x14ac:dyDescent="0.35">
      <c r="A360" s="14">
        <v>371</v>
      </c>
      <c r="B360" s="20" t="s">
        <v>901</v>
      </c>
      <c r="C360" s="20" t="s">
        <v>985</v>
      </c>
      <c r="D360" s="20" t="s">
        <v>986</v>
      </c>
      <c r="E360" s="20" t="s">
        <v>57</v>
      </c>
      <c r="F360" s="20" t="s">
        <v>987</v>
      </c>
      <c r="G360" s="20" t="s">
        <v>23</v>
      </c>
      <c r="H360" s="27">
        <v>0.67</v>
      </c>
      <c r="I360" s="20" t="s">
        <v>1201</v>
      </c>
      <c r="J360" s="20" t="s">
        <v>30</v>
      </c>
      <c r="K360" s="20" t="s">
        <v>35</v>
      </c>
      <c r="L360" s="68">
        <v>16</v>
      </c>
      <c r="M360" s="72">
        <f t="shared" si="51"/>
        <v>1675</v>
      </c>
      <c r="N360" s="72">
        <f t="shared" si="45"/>
        <v>26800</v>
      </c>
      <c r="O360" s="72">
        <f>M360*3</f>
        <v>5025</v>
      </c>
      <c r="P360" s="72">
        <f>M360*13*0.8</f>
        <v>17420</v>
      </c>
      <c r="Q360" s="72">
        <f t="shared" si="50"/>
        <v>248.85714285714286</v>
      </c>
      <c r="R360" s="72">
        <f t="shared" si="52"/>
        <v>995.42857142857144</v>
      </c>
      <c r="S360" s="13"/>
      <c r="T360" s="13"/>
      <c r="U360" s="13"/>
      <c r="V360" s="40"/>
      <c r="W360" s="13"/>
    </row>
    <row r="361" spans="1:23" ht="58.5" customHeight="1" x14ac:dyDescent="0.35">
      <c r="A361" s="14">
        <v>372</v>
      </c>
      <c r="B361" s="20" t="s">
        <v>901</v>
      </c>
      <c r="C361" s="20" t="s">
        <v>988</v>
      </c>
      <c r="D361" s="20" t="s">
        <v>986</v>
      </c>
      <c r="E361" s="20" t="s">
        <v>644</v>
      </c>
      <c r="F361" s="20" t="s">
        <v>989</v>
      </c>
      <c r="G361" s="20" t="s">
        <v>29</v>
      </c>
      <c r="H361" s="27">
        <v>0.87</v>
      </c>
      <c r="I361" s="20" t="s">
        <v>990</v>
      </c>
      <c r="J361" s="20" t="s">
        <v>30</v>
      </c>
      <c r="K361" s="20" t="s">
        <v>35</v>
      </c>
      <c r="L361" s="68">
        <v>5</v>
      </c>
      <c r="M361" s="72">
        <f t="shared" si="51"/>
        <v>2175</v>
      </c>
      <c r="N361" s="72">
        <f t="shared" si="45"/>
        <v>10875</v>
      </c>
      <c r="O361" s="72">
        <f>M361*L361</f>
        <v>10875</v>
      </c>
      <c r="P361" s="72">
        <v>0</v>
      </c>
      <c r="Q361" s="72">
        <f t="shared" si="50"/>
        <v>0</v>
      </c>
      <c r="R361" s="72">
        <f t="shared" si="52"/>
        <v>0</v>
      </c>
      <c r="S361" s="13"/>
      <c r="T361" s="13"/>
      <c r="U361" s="13"/>
      <c r="V361" s="40"/>
      <c r="W361" s="13"/>
    </row>
    <row r="362" spans="1:23" ht="58.5" customHeight="1" x14ac:dyDescent="0.35">
      <c r="A362" s="14">
        <v>373</v>
      </c>
      <c r="B362" s="20" t="s">
        <v>901</v>
      </c>
      <c r="C362" s="20" t="s">
        <v>991</v>
      </c>
      <c r="D362" s="20" t="s">
        <v>992</v>
      </c>
      <c r="E362" s="20" t="s">
        <v>27</v>
      </c>
      <c r="F362" s="20" t="s">
        <v>993</v>
      </c>
      <c r="G362" s="20" t="s">
        <v>29</v>
      </c>
      <c r="H362" s="27">
        <v>0.18</v>
      </c>
      <c r="I362" s="20" t="s">
        <v>994</v>
      </c>
      <c r="J362" s="20" t="s">
        <v>30</v>
      </c>
      <c r="K362" s="20" t="s">
        <v>35</v>
      </c>
      <c r="L362" s="68">
        <v>3</v>
      </c>
      <c r="M362" s="72">
        <f t="shared" si="51"/>
        <v>450</v>
      </c>
      <c r="N362" s="72">
        <f t="shared" si="45"/>
        <v>1350</v>
      </c>
      <c r="O362" s="72">
        <f>M362*L362</f>
        <v>1350</v>
      </c>
      <c r="P362" s="72">
        <v>0</v>
      </c>
      <c r="Q362" s="72">
        <f t="shared" si="50"/>
        <v>0</v>
      </c>
      <c r="R362" s="72">
        <f t="shared" si="52"/>
        <v>0</v>
      </c>
      <c r="S362" s="13"/>
      <c r="T362" s="13"/>
      <c r="U362" s="13"/>
      <c r="V362" s="40"/>
      <c r="W362" s="13"/>
    </row>
    <row r="363" spans="1:23" ht="58.5" customHeight="1" x14ac:dyDescent="0.35">
      <c r="A363" s="14">
        <v>374</v>
      </c>
      <c r="B363" s="20" t="s">
        <v>901</v>
      </c>
      <c r="C363" s="20" t="s">
        <v>995</v>
      </c>
      <c r="D363" s="20" t="s">
        <v>422</v>
      </c>
      <c r="E363" s="20" t="s">
        <v>49</v>
      </c>
      <c r="F363" s="20" t="s">
        <v>996</v>
      </c>
      <c r="G363" s="20" t="s">
        <v>23</v>
      </c>
      <c r="H363" s="27">
        <v>0.4</v>
      </c>
      <c r="I363" s="92" t="s">
        <v>1200</v>
      </c>
      <c r="J363" s="20" t="s">
        <v>30</v>
      </c>
      <c r="K363" s="20" t="s">
        <v>35</v>
      </c>
      <c r="L363" s="68">
        <v>12</v>
      </c>
      <c r="M363" s="72">
        <f t="shared" si="51"/>
        <v>1000</v>
      </c>
      <c r="N363" s="72">
        <f t="shared" si="45"/>
        <v>12000</v>
      </c>
      <c r="O363" s="72">
        <f>M363*2</f>
        <v>2000</v>
      </c>
      <c r="P363" s="72">
        <f>M363*10*0.8</f>
        <v>8000</v>
      </c>
      <c r="Q363" s="72">
        <f t="shared" si="50"/>
        <v>114.28571428571429</v>
      </c>
      <c r="R363" s="72">
        <f t="shared" si="52"/>
        <v>457.14285714285717</v>
      </c>
      <c r="S363" s="13"/>
      <c r="T363" s="13"/>
      <c r="U363" s="13"/>
      <c r="V363" s="40"/>
      <c r="W363" s="13"/>
    </row>
    <row r="364" spans="1:23" ht="58.5" customHeight="1" x14ac:dyDescent="0.35">
      <c r="A364" s="14">
        <v>375</v>
      </c>
      <c r="B364" s="20" t="s">
        <v>901</v>
      </c>
      <c r="C364" s="20" t="s">
        <v>997</v>
      </c>
      <c r="D364" s="20" t="s">
        <v>998</v>
      </c>
      <c r="E364" s="20" t="s">
        <v>999</v>
      </c>
      <c r="F364" s="20" t="s">
        <v>1000</v>
      </c>
      <c r="G364" s="20" t="s">
        <v>23</v>
      </c>
      <c r="H364" s="27">
        <v>0.81</v>
      </c>
      <c r="I364" s="92" t="s">
        <v>1199</v>
      </c>
      <c r="J364" s="20" t="s">
        <v>30</v>
      </c>
      <c r="K364" s="20" t="s">
        <v>35</v>
      </c>
      <c r="L364" s="68">
        <v>13</v>
      </c>
      <c r="M364" s="72">
        <f t="shared" si="51"/>
        <v>2025.0000000000002</v>
      </c>
      <c r="N364" s="72">
        <f t="shared" si="45"/>
        <v>26325.000000000004</v>
      </c>
      <c r="O364" s="72">
        <f>M364*3</f>
        <v>6075.0000000000009</v>
      </c>
      <c r="P364" s="72">
        <f>M364*10*0.8</f>
        <v>16200.000000000004</v>
      </c>
      <c r="Q364" s="72">
        <f t="shared" si="50"/>
        <v>231.42857142857147</v>
      </c>
      <c r="R364" s="72">
        <f t="shared" si="52"/>
        <v>925.71428571428589</v>
      </c>
      <c r="S364" s="13"/>
      <c r="T364" s="13"/>
      <c r="U364" s="13"/>
      <c r="V364" s="40"/>
      <c r="W364" s="13"/>
    </row>
    <row r="365" spans="1:23" ht="58.5" customHeight="1" x14ac:dyDescent="0.35">
      <c r="A365" s="14">
        <v>376</v>
      </c>
      <c r="B365" s="20" t="s">
        <v>901</v>
      </c>
      <c r="C365" s="20" t="s">
        <v>1001</v>
      </c>
      <c r="D365" s="20" t="s">
        <v>422</v>
      </c>
      <c r="E365" s="20" t="s">
        <v>1002</v>
      </c>
      <c r="F365" s="20" t="s">
        <v>1000</v>
      </c>
      <c r="G365" s="20" t="s">
        <v>23</v>
      </c>
      <c r="H365" s="27">
        <v>1.5</v>
      </c>
      <c r="I365" s="20" t="s">
        <v>1003</v>
      </c>
      <c r="J365" s="20" t="s">
        <v>30</v>
      </c>
      <c r="K365" s="20" t="s">
        <v>35</v>
      </c>
      <c r="L365" s="68">
        <v>10</v>
      </c>
      <c r="M365" s="72">
        <f t="shared" si="51"/>
        <v>3750</v>
      </c>
      <c r="N365" s="72">
        <f t="shared" si="45"/>
        <v>37500</v>
      </c>
      <c r="O365" s="72">
        <f>M365*2</f>
        <v>7500</v>
      </c>
      <c r="P365" s="72">
        <f>M365*8*0.8</f>
        <v>24000</v>
      </c>
      <c r="Q365" s="72">
        <f t="shared" si="50"/>
        <v>342.85714285714283</v>
      </c>
      <c r="R365" s="72">
        <f t="shared" si="52"/>
        <v>1371.4285714285713</v>
      </c>
      <c r="S365" s="13"/>
      <c r="T365" s="13"/>
      <c r="U365" s="13"/>
      <c r="V365" s="40"/>
      <c r="W365" s="13"/>
    </row>
    <row r="366" spans="1:23" ht="58.5" customHeight="1" x14ac:dyDescent="0.35">
      <c r="A366" s="14">
        <v>377</v>
      </c>
      <c r="B366" s="20" t="s">
        <v>901</v>
      </c>
      <c r="C366" s="20" t="s">
        <v>1004</v>
      </c>
      <c r="D366" s="20" t="s">
        <v>600</v>
      </c>
      <c r="E366" s="20" t="s">
        <v>1005</v>
      </c>
      <c r="F366" s="20" t="s">
        <v>1006</v>
      </c>
      <c r="G366" s="20" t="s">
        <v>23</v>
      </c>
      <c r="H366" s="27">
        <v>0.5</v>
      </c>
      <c r="I366" s="92" t="s">
        <v>1198</v>
      </c>
      <c r="J366" s="20" t="s">
        <v>24</v>
      </c>
      <c r="K366" s="20" t="s">
        <v>51</v>
      </c>
      <c r="L366" s="68">
        <v>10</v>
      </c>
      <c r="M366" s="72">
        <f t="shared" si="51"/>
        <v>1250</v>
      </c>
      <c r="N366" s="72">
        <f t="shared" si="45"/>
        <v>12500</v>
      </c>
      <c r="O366" s="72">
        <f>M366*2</f>
        <v>2500</v>
      </c>
      <c r="P366" s="72">
        <f>M366*8*0.8</f>
        <v>8000</v>
      </c>
      <c r="Q366" s="72">
        <f t="shared" si="50"/>
        <v>114.28571428571429</v>
      </c>
      <c r="R366" s="72">
        <f t="shared" si="52"/>
        <v>457.14285714285717</v>
      </c>
      <c r="S366" s="13"/>
      <c r="T366" s="13"/>
      <c r="U366" s="13"/>
      <c r="V366" s="40"/>
      <c r="W366" s="13"/>
    </row>
    <row r="367" spans="1:23" ht="58.5" customHeight="1" x14ac:dyDescent="0.35">
      <c r="A367" s="14">
        <v>378</v>
      </c>
      <c r="B367" s="20" t="s">
        <v>901</v>
      </c>
      <c r="C367" s="20" t="s">
        <v>1007</v>
      </c>
      <c r="D367" s="20" t="s">
        <v>1008</v>
      </c>
      <c r="E367" s="20" t="s">
        <v>1009</v>
      </c>
      <c r="F367" s="20" t="s">
        <v>1006</v>
      </c>
      <c r="G367" s="20" t="s">
        <v>23</v>
      </c>
      <c r="H367" s="27">
        <v>0.85</v>
      </c>
      <c r="I367" s="92" t="s">
        <v>1197</v>
      </c>
      <c r="J367" s="20" t="s">
        <v>24</v>
      </c>
      <c r="K367" s="20" t="s">
        <v>51</v>
      </c>
      <c r="L367" s="68">
        <v>10</v>
      </c>
      <c r="M367" s="72">
        <f t="shared" si="51"/>
        <v>2125</v>
      </c>
      <c r="N367" s="72">
        <f t="shared" si="45"/>
        <v>21250</v>
      </c>
      <c r="O367" s="72">
        <f>M367*2</f>
        <v>4250</v>
      </c>
      <c r="P367" s="72">
        <f>M367*8*0.8</f>
        <v>13600</v>
      </c>
      <c r="Q367" s="72">
        <f t="shared" si="50"/>
        <v>194.28571428571428</v>
      </c>
      <c r="R367" s="72">
        <f t="shared" si="52"/>
        <v>777.14285714285711</v>
      </c>
      <c r="S367" s="13"/>
      <c r="T367" s="13"/>
      <c r="U367" s="13"/>
      <c r="V367" s="40"/>
      <c r="W367" s="13"/>
    </row>
    <row r="368" spans="1:23" ht="58.5" customHeight="1" x14ac:dyDescent="0.35">
      <c r="A368" s="14">
        <v>379</v>
      </c>
      <c r="B368" s="20" t="s">
        <v>901</v>
      </c>
      <c r="C368" s="20" t="s">
        <v>1010</v>
      </c>
      <c r="D368" s="20" t="s">
        <v>1008</v>
      </c>
      <c r="E368" s="20" t="s">
        <v>1011</v>
      </c>
      <c r="F368" s="20" t="s">
        <v>1006</v>
      </c>
      <c r="G368" s="20" t="s">
        <v>23</v>
      </c>
      <c r="H368" s="27" t="s">
        <v>1012</v>
      </c>
      <c r="I368" s="92" t="s">
        <v>1196</v>
      </c>
      <c r="J368" s="20" t="s">
        <v>24</v>
      </c>
      <c r="K368" s="20" t="s">
        <v>51</v>
      </c>
      <c r="L368" s="68">
        <v>8</v>
      </c>
      <c r="M368" s="72">
        <f t="shared" si="51"/>
        <v>300</v>
      </c>
      <c r="N368" s="72">
        <f t="shared" si="45"/>
        <v>2400</v>
      </c>
      <c r="O368" s="72">
        <f>M368*2</f>
        <v>600</v>
      </c>
      <c r="P368" s="72">
        <f>M368*6*0.8</f>
        <v>1440</v>
      </c>
      <c r="Q368" s="72">
        <f t="shared" si="50"/>
        <v>20.571428571428573</v>
      </c>
      <c r="R368" s="72">
        <f t="shared" si="52"/>
        <v>82.285714285714292</v>
      </c>
      <c r="S368" s="13"/>
      <c r="T368" s="13"/>
      <c r="U368" s="13"/>
      <c r="V368" s="40"/>
      <c r="W368" s="13"/>
    </row>
    <row r="369" spans="1:23" ht="58.5" customHeight="1" x14ac:dyDescent="0.35">
      <c r="A369" s="14">
        <v>380</v>
      </c>
      <c r="B369" s="20" t="s">
        <v>901</v>
      </c>
      <c r="C369" s="20" t="s">
        <v>1013</v>
      </c>
      <c r="D369" s="20" t="s">
        <v>422</v>
      </c>
      <c r="E369" s="20" t="s">
        <v>1002</v>
      </c>
      <c r="F369" s="20" t="s">
        <v>1006</v>
      </c>
      <c r="G369" s="20" t="s">
        <v>23</v>
      </c>
      <c r="H369" s="27">
        <v>0.5</v>
      </c>
      <c r="I369" s="92" t="s">
        <v>1196</v>
      </c>
      <c r="J369" s="20" t="s">
        <v>30</v>
      </c>
      <c r="K369" s="20" t="s">
        <v>35</v>
      </c>
      <c r="L369" s="68">
        <v>10</v>
      </c>
      <c r="M369" s="72">
        <f t="shared" si="51"/>
        <v>1250</v>
      </c>
      <c r="N369" s="72">
        <f t="shared" si="45"/>
        <v>12500</v>
      </c>
      <c r="O369" s="72">
        <f>M369*2</f>
        <v>2500</v>
      </c>
      <c r="P369" s="72">
        <f>M369*8*0.8</f>
        <v>8000</v>
      </c>
      <c r="Q369" s="72">
        <f t="shared" si="50"/>
        <v>114.28571428571429</v>
      </c>
      <c r="R369" s="72">
        <f t="shared" si="52"/>
        <v>457.14285714285717</v>
      </c>
      <c r="S369" s="13"/>
      <c r="T369" s="13"/>
      <c r="U369" s="13"/>
      <c r="V369" s="40"/>
      <c r="W369" s="13"/>
    </row>
    <row r="370" spans="1:23" ht="18.75" customHeight="1" x14ac:dyDescent="0.35">
      <c r="A370" s="14">
        <v>381</v>
      </c>
      <c r="B370" s="73" t="s">
        <v>1014</v>
      </c>
      <c r="C370" s="73" t="s">
        <v>1015</v>
      </c>
      <c r="D370" s="73" t="s">
        <v>673</v>
      </c>
      <c r="E370" s="73" t="s">
        <v>881</v>
      </c>
      <c r="F370" s="73" t="s">
        <v>1016</v>
      </c>
      <c r="G370" s="73" t="s">
        <v>23</v>
      </c>
      <c r="H370" s="74">
        <v>1.6</v>
      </c>
      <c r="I370" s="104" t="s">
        <v>1195</v>
      </c>
      <c r="J370" s="73" t="s">
        <v>24</v>
      </c>
      <c r="K370" s="73" t="s">
        <v>35</v>
      </c>
      <c r="L370" s="68">
        <v>15</v>
      </c>
      <c r="M370" s="75">
        <f t="shared" si="51"/>
        <v>4000</v>
      </c>
      <c r="N370" s="75">
        <f t="shared" si="45"/>
        <v>60000</v>
      </c>
      <c r="O370" s="75">
        <f>M370*3</f>
        <v>12000</v>
      </c>
      <c r="P370" s="75">
        <f>M370*12*0.8</f>
        <v>38400</v>
      </c>
      <c r="Q370" s="75">
        <f t="shared" si="50"/>
        <v>548.57142857142856</v>
      </c>
      <c r="R370" s="75">
        <f t="shared" si="52"/>
        <v>2194.2857142857142</v>
      </c>
      <c r="S370" s="13"/>
      <c r="T370" s="13"/>
      <c r="U370" s="13"/>
      <c r="V370" s="40"/>
      <c r="W370" s="13"/>
    </row>
    <row r="371" spans="1:23" ht="18.75" customHeight="1" x14ac:dyDescent="0.35">
      <c r="A371" s="14">
        <v>382</v>
      </c>
      <c r="B371" s="73" t="s">
        <v>1014</v>
      </c>
      <c r="C371" s="73" t="s">
        <v>1015</v>
      </c>
      <c r="D371" s="73" t="s">
        <v>1017</v>
      </c>
      <c r="E371" s="73" t="s">
        <v>546</v>
      </c>
      <c r="F371" s="73" t="s">
        <v>1016</v>
      </c>
      <c r="G371" s="73" t="s">
        <v>23</v>
      </c>
      <c r="H371" s="74">
        <v>0.64</v>
      </c>
      <c r="I371" s="104" t="s">
        <v>1194</v>
      </c>
      <c r="J371" s="73" t="s">
        <v>24</v>
      </c>
      <c r="K371" s="73" t="s">
        <v>35</v>
      </c>
      <c r="L371" s="68">
        <v>5</v>
      </c>
      <c r="M371" s="75">
        <f t="shared" si="51"/>
        <v>1600</v>
      </c>
      <c r="N371" s="75">
        <f t="shared" si="45"/>
        <v>8000</v>
      </c>
      <c r="O371" s="75">
        <f>M371*1</f>
        <v>1600</v>
      </c>
      <c r="P371" s="75">
        <f>M371*4*0.8</f>
        <v>5120</v>
      </c>
      <c r="Q371" s="75">
        <f t="shared" ref="Q371:Q402" si="53">P371/70</f>
        <v>73.142857142857139</v>
      </c>
      <c r="R371" s="75">
        <f t="shared" si="52"/>
        <v>292.57142857142856</v>
      </c>
      <c r="S371" s="13"/>
      <c r="T371" s="13"/>
      <c r="U371" s="13"/>
      <c r="V371" s="40"/>
      <c r="W371" s="13"/>
    </row>
    <row r="372" spans="1:23" ht="18.75" customHeight="1" x14ac:dyDescent="0.35">
      <c r="A372" s="14">
        <v>383</v>
      </c>
      <c r="B372" s="73" t="s">
        <v>1014</v>
      </c>
      <c r="C372" s="73" t="s">
        <v>1015</v>
      </c>
      <c r="D372" s="73" t="s">
        <v>436</v>
      </c>
      <c r="E372" s="73" t="s">
        <v>1018</v>
      </c>
      <c r="F372" s="73" t="s">
        <v>1016</v>
      </c>
      <c r="G372" s="73" t="s">
        <v>23</v>
      </c>
      <c r="H372" s="74">
        <v>0.9</v>
      </c>
      <c r="I372" s="104" t="s">
        <v>1193</v>
      </c>
      <c r="J372" s="73" t="s">
        <v>24</v>
      </c>
      <c r="K372" s="73" t="s">
        <v>35</v>
      </c>
      <c r="L372" s="68">
        <v>8</v>
      </c>
      <c r="M372" s="75">
        <f t="shared" si="51"/>
        <v>2250</v>
      </c>
      <c r="N372" s="75">
        <f t="shared" si="45"/>
        <v>18000</v>
      </c>
      <c r="O372" s="75">
        <f>M372*2</f>
        <v>4500</v>
      </c>
      <c r="P372" s="75">
        <f>M372*6*0.8</f>
        <v>10800</v>
      </c>
      <c r="Q372" s="75">
        <f t="shared" si="53"/>
        <v>154.28571428571428</v>
      </c>
      <c r="R372" s="75">
        <f t="shared" si="52"/>
        <v>617.14285714285711</v>
      </c>
      <c r="S372" s="13"/>
      <c r="T372" s="13"/>
      <c r="U372" s="13"/>
      <c r="V372" s="40"/>
      <c r="W372" s="13"/>
    </row>
    <row r="373" spans="1:23" ht="18.75" customHeight="1" x14ac:dyDescent="0.35">
      <c r="A373" s="14">
        <v>384</v>
      </c>
      <c r="B373" s="73" t="s">
        <v>1014</v>
      </c>
      <c r="C373" s="73" t="s">
        <v>1019</v>
      </c>
      <c r="D373" s="73" t="s">
        <v>428</v>
      </c>
      <c r="E373" s="73" t="s">
        <v>49</v>
      </c>
      <c r="F373" s="73" t="s">
        <v>1016</v>
      </c>
      <c r="G373" s="73" t="s">
        <v>23</v>
      </c>
      <c r="H373" s="74">
        <v>8.1999999999999993</v>
      </c>
      <c r="I373" s="104" t="s">
        <v>1192</v>
      </c>
      <c r="J373" s="73" t="s">
        <v>24</v>
      </c>
      <c r="K373" s="73" t="s">
        <v>35</v>
      </c>
      <c r="L373" s="68">
        <v>8</v>
      </c>
      <c r="M373" s="75">
        <f t="shared" si="51"/>
        <v>20500</v>
      </c>
      <c r="N373" s="75">
        <f t="shared" si="45"/>
        <v>164000</v>
      </c>
      <c r="O373" s="75">
        <f>M373*2</f>
        <v>41000</v>
      </c>
      <c r="P373" s="75">
        <f>M373*6*0.8</f>
        <v>98400</v>
      </c>
      <c r="Q373" s="75">
        <f t="shared" si="53"/>
        <v>1405.7142857142858</v>
      </c>
      <c r="R373" s="75">
        <f t="shared" si="52"/>
        <v>5622.8571428571431</v>
      </c>
      <c r="S373" s="13"/>
      <c r="T373" s="13"/>
      <c r="U373" s="13"/>
      <c r="V373" s="40"/>
      <c r="W373" s="13"/>
    </row>
    <row r="374" spans="1:23" ht="18.75" customHeight="1" x14ac:dyDescent="0.35">
      <c r="A374" s="14">
        <v>385</v>
      </c>
      <c r="B374" s="73" t="s">
        <v>1014</v>
      </c>
      <c r="C374" s="73" t="s">
        <v>1019</v>
      </c>
      <c r="D374" s="73" t="s">
        <v>1017</v>
      </c>
      <c r="E374" s="73" t="s">
        <v>589</v>
      </c>
      <c r="F374" s="73" t="s">
        <v>1020</v>
      </c>
      <c r="G374" s="73" t="s">
        <v>23</v>
      </c>
      <c r="H374" s="74">
        <v>1.2</v>
      </c>
      <c r="I374" s="104" t="s">
        <v>1191</v>
      </c>
      <c r="J374" s="73" t="s">
        <v>30</v>
      </c>
      <c r="K374" s="73" t="s">
        <v>1021</v>
      </c>
      <c r="L374" s="68">
        <v>10</v>
      </c>
      <c r="M374" s="75">
        <f t="shared" si="51"/>
        <v>3000</v>
      </c>
      <c r="N374" s="75">
        <f t="shared" si="45"/>
        <v>30000</v>
      </c>
      <c r="O374" s="75">
        <f>M374*2</f>
        <v>6000</v>
      </c>
      <c r="P374" s="75">
        <f>M374*8*0.8</f>
        <v>19200</v>
      </c>
      <c r="Q374" s="75">
        <f t="shared" si="53"/>
        <v>274.28571428571428</v>
      </c>
      <c r="R374" s="75">
        <f t="shared" si="52"/>
        <v>1097.1428571428571</v>
      </c>
      <c r="S374" s="13"/>
      <c r="T374" s="13"/>
      <c r="U374" s="13"/>
      <c r="V374" s="40"/>
      <c r="W374" s="13"/>
    </row>
    <row r="375" spans="1:23" ht="18.75" customHeight="1" x14ac:dyDescent="0.35">
      <c r="A375" s="14">
        <v>386</v>
      </c>
      <c r="B375" s="73" t="s">
        <v>1014</v>
      </c>
      <c r="C375" s="73" t="s">
        <v>1022</v>
      </c>
      <c r="D375" s="73" t="s">
        <v>428</v>
      </c>
      <c r="E375" s="73" t="s">
        <v>589</v>
      </c>
      <c r="F375" s="73" t="s">
        <v>1016</v>
      </c>
      <c r="G375" s="73" t="s">
        <v>23</v>
      </c>
      <c r="H375" s="74">
        <v>0.9</v>
      </c>
      <c r="I375" s="104" t="s">
        <v>1190</v>
      </c>
      <c r="J375" s="73" t="s">
        <v>30</v>
      </c>
      <c r="K375" s="73" t="s">
        <v>35</v>
      </c>
      <c r="L375" s="68">
        <v>10</v>
      </c>
      <c r="M375" s="75">
        <f t="shared" si="51"/>
        <v>2250</v>
      </c>
      <c r="N375" s="75">
        <f t="shared" si="45"/>
        <v>22500</v>
      </c>
      <c r="O375" s="75">
        <f>M375*2</f>
        <v>4500</v>
      </c>
      <c r="P375" s="75">
        <f>M375*8*0.8</f>
        <v>14400</v>
      </c>
      <c r="Q375" s="75">
        <f t="shared" si="53"/>
        <v>205.71428571428572</v>
      </c>
      <c r="R375" s="75">
        <f t="shared" si="52"/>
        <v>822.85714285714289</v>
      </c>
      <c r="S375" s="13"/>
      <c r="T375" s="13"/>
      <c r="U375" s="13"/>
      <c r="V375" s="40"/>
      <c r="W375" s="13"/>
    </row>
    <row r="376" spans="1:23" ht="18.75" customHeight="1" x14ac:dyDescent="0.35">
      <c r="A376" s="14">
        <v>387</v>
      </c>
      <c r="B376" s="73" t="s">
        <v>1014</v>
      </c>
      <c r="C376" s="73" t="s">
        <v>1019</v>
      </c>
      <c r="D376" s="73" t="s">
        <v>1023</v>
      </c>
      <c r="E376" s="73" t="s">
        <v>665</v>
      </c>
      <c r="F376" s="73" t="s">
        <v>1016</v>
      </c>
      <c r="G376" s="73" t="s">
        <v>23</v>
      </c>
      <c r="H376" s="74">
        <v>6.2</v>
      </c>
      <c r="I376" s="104" t="s">
        <v>1189</v>
      </c>
      <c r="J376" s="73" t="s">
        <v>24</v>
      </c>
      <c r="K376" s="73" t="s">
        <v>51</v>
      </c>
      <c r="L376" s="68">
        <v>8</v>
      </c>
      <c r="M376" s="75">
        <f t="shared" si="51"/>
        <v>15500</v>
      </c>
      <c r="N376" s="75">
        <f t="shared" ref="N376:N422" si="54">M376*L376</f>
        <v>124000</v>
      </c>
      <c r="O376" s="75">
        <f>M376*2</f>
        <v>31000</v>
      </c>
      <c r="P376" s="75">
        <f>M376*6*0.8</f>
        <v>74400</v>
      </c>
      <c r="Q376" s="75">
        <f t="shared" si="53"/>
        <v>1062.8571428571429</v>
      </c>
      <c r="R376" s="75">
        <f t="shared" si="52"/>
        <v>4251.4285714285716</v>
      </c>
      <c r="S376" s="13"/>
      <c r="T376" s="13"/>
      <c r="U376" s="13"/>
      <c r="V376" s="40"/>
      <c r="W376" s="13"/>
    </row>
    <row r="377" spans="1:23" ht="18.75" customHeight="1" x14ac:dyDescent="0.35">
      <c r="A377" s="14">
        <v>388</v>
      </c>
      <c r="B377" s="73" t="s">
        <v>1014</v>
      </c>
      <c r="C377" s="73" t="s">
        <v>1024</v>
      </c>
      <c r="D377" s="73" t="s">
        <v>1017</v>
      </c>
      <c r="E377" s="73" t="s">
        <v>1025</v>
      </c>
      <c r="F377" s="73" t="s">
        <v>1026</v>
      </c>
      <c r="G377" s="73" t="s">
        <v>29</v>
      </c>
      <c r="H377" s="74">
        <v>0.5</v>
      </c>
      <c r="I377" s="104" t="s">
        <v>1188</v>
      </c>
      <c r="J377" s="73" t="s">
        <v>24</v>
      </c>
      <c r="K377" s="73" t="s">
        <v>35</v>
      </c>
      <c r="L377" s="68">
        <v>3</v>
      </c>
      <c r="M377" s="75">
        <f t="shared" si="51"/>
        <v>1250</v>
      </c>
      <c r="N377" s="75">
        <f t="shared" si="54"/>
        <v>3750</v>
      </c>
      <c r="O377" s="75">
        <f>M377*L377</f>
        <v>3750</v>
      </c>
      <c r="P377" s="75">
        <v>0</v>
      </c>
      <c r="Q377" s="75">
        <f t="shared" si="53"/>
        <v>0</v>
      </c>
      <c r="R377" s="75">
        <f t="shared" ref="R377:R408" si="55">Q377*4</f>
        <v>0</v>
      </c>
      <c r="S377" s="13"/>
      <c r="T377" s="13"/>
      <c r="U377" s="13"/>
      <c r="V377" s="40"/>
      <c r="W377" s="13"/>
    </row>
    <row r="378" spans="1:23" ht="18.75" customHeight="1" x14ac:dyDescent="0.35">
      <c r="A378" s="14">
        <v>389</v>
      </c>
      <c r="B378" s="73" t="s">
        <v>1014</v>
      </c>
      <c r="C378" s="73" t="s">
        <v>1027</v>
      </c>
      <c r="D378" s="73" t="s">
        <v>1028</v>
      </c>
      <c r="E378" s="73" t="s">
        <v>1029</v>
      </c>
      <c r="F378" s="73" t="s">
        <v>1016</v>
      </c>
      <c r="G378" s="73" t="s">
        <v>23</v>
      </c>
      <c r="H378" s="74">
        <v>1.1000000000000001</v>
      </c>
      <c r="I378" s="104" t="s">
        <v>1187</v>
      </c>
      <c r="J378" s="73" t="s">
        <v>24</v>
      </c>
      <c r="K378" s="73" t="s">
        <v>35</v>
      </c>
      <c r="L378" s="68">
        <v>5</v>
      </c>
      <c r="M378" s="75">
        <f t="shared" si="51"/>
        <v>2750</v>
      </c>
      <c r="N378" s="75">
        <f t="shared" si="54"/>
        <v>13750</v>
      </c>
      <c r="O378" s="75">
        <f>M378*1</f>
        <v>2750</v>
      </c>
      <c r="P378" s="75">
        <f>M378*4*0.8</f>
        <v>8800</v>
      </c>
      <c r="Q378" s="75">
        <f t="shared" si="53"/>
        <v>125.71428571428571</v>
      </c>
      <c r="R378" s="75">
        <f t="shared" si="55"/>
        <v>502.85714285714283</v>
      </c>
      <c r="S378" s="13"/>
      <c r="T378" s="13"/>
      <c r="U378" s="13"/>
      <c r="V378" s="40"/>
      <c r="W378" s="13"/>
    </row>
    <row r="379" spans="1:23" ht="18.75" customHeight="1" x14ac:dyDescent="0.35">
      <c r="A379" s="14">
        <v>390</v>
      </c>
      <c r="B379" s="73" t="s">
        <v>1014</v>
      </c>
      <c r="C379" s="73" t="s">
        <v>1030</v>
      </c>
      <c r="D379" s="73" t="s">
        <v>428</v>
      </c>
      <c r="E379" s="73" t="s">
        <v>650</v>
      </c>
      <c r="F379" s="73" t="s">
        <v>1016</v>
      </c>
      <c r="G379" s="73" t="s">
        <v>23</v>
      </c>
      <c r="H379" s="76">
        <v>4</v>
      </c>
      <c r="I379" s="104" t="s">
        <v>1186</v>
      </c>
      <c r="J379" s="73" t="s">
        <v>24</v>
      </c>
      <c r="K379" s="73" t="s">
        <v>51</v>
      </c>
      <c r="L379" s="68">
        <v>8</v>
      </c>
      <c r="M379" s="75">
        <f t="shared" si="51"/>
        <v>10000</v>
      </c>
      <c r="N379" s="75">
        <f t="shared" si="54"/>
        <v>80000</v>
      </c>
      <c r="O379" s="75">
        <f>M379*2</f>
        <v>20000</v>
      </c>
      <c r="P379" s="75">
        <f>M379*6*0.8</f>
        <v>48000</v>
      </c>
      <c r="Q379" s="75">
        <f t="shared" si="53"/>
        <v>685.71428571428567</v>
      </c>
      <c r="R379" s="75">
        <f t="shared" si="55"/>
        <v>2742.8571428571427</v>
      </c>
      <c r="S379" s="13"/>
      <c r="T379" s="13"/>
      <c r="U379" s="13"/>
      <c r="V379" s="40"/>
      <c r="W379" s="13"/>
    </row>
    <row r="380" spans="1:23" ht="18.75" customHeight="1" x14ac:dyDescent="0.35">
      <c r="A380" s="14">
        <v>391</v>
      </c>
      <c r="B380" s="73" t="s">
        <v>1014</v>
      </c>
      <c r="C380" s="73" t="s">
        <v>1030</v>
      </c>
      <c r="D380" s="73" t="s">
        <v>428</v>
      </c>
      <c r="E380" s="73" t="s">
        <v>1031</v>
      </c>
      <c r="F380" s="73" t="s">
        <v>1016</v>
      </c>
      <c r="G380" s="73" t="s">
        <v>23</v>
      </c>
      <c r="H380" s="74">
        <v>4.5</v>
      </c>
      <c r="I380" s="104" t="s">
        <v>1185</v>
      </c>
      <c r="J380" s="73" t="s">
        <v>24</v>
      </c>
      <c r="K380" s="73" t="s">
        <v>51</v>
      </c>
      <c r="L380" s="68">
        <v>13</v>
      </c>
      <c r="M380" s="75">
        <f t="shared" si="51"/>
        <v>11250</v>
      </c>
      <c r="N380" s="75">
        <f t="shared" si="54"/>
        <v>146250</v>
      </c>
      <c r="O380" s="75">
        <f>M380*3</f>
        <v>33750</v>
      </c>
      <c r="P380" s="75">
        <f>M380*10*0.8</f>
        <v>90000</v>
      </c>
      <c r="Q380" s="75">
        <f t="shared" si="53"/>
        <v>1285.7142857142858</v>
      </c>
      <c r="R380" s="75">
        <f t="shared" si="55"/>
        <v>5142.8571428571431</v>
      </c>
      <c r="S380" s="13"/>
      <c r="T380" s="13"/>
      <c r="U380" s="13"/>
      <c r="V380" s="40"/>
      <c r="W380" s="13"/>
    </row>
    <row r="381" spans="1:23" ht="18.75" customHeight="1" x14ac:dyDescent="0.35">
      <c r="A381" s="14">
        <v>392</v>
      </c>
      <c r="B381" s="73" t="s">
        <v>1014</v>
      </c>
      <c r="C381" s="73" t="s">
        <v>1032</v>
      </c>
      <c r="D381" s="73" t="s">
        <v>1033</v>
      </c>
      <c r="E381" s="73" t="s">
        <v>546</v>
      </c>
      <c r="F381" s="73" t="s">
        <v>1034</v>
      </c>
      <c r="G381" s="73" t="s">
        <v>84</v>
      </c>
      <c r="H381" s="74">
        <v>0.05</v>
      </c>
      <c r="I381" s="104" t="s">
        <v>1184</v>
      </c>
      <c r="J381" s="73" t="s">
        <v>24</v>
      </c>
      <c r="K381" s="73" t="s">
        <v>35</v>
      </c>
      <c r="L381" s="68">
        <v>5</v>
      </c>
      <c r="M381" s="75">
        <f>H381*10000</f>
        <v>500</v>
      </c>
      <c r="N381" s="75">
        <f t="shared" si="54"/>
        <v>2500</v>
      </c>
      <c r="O381" s="75">
        <f>M381*L381</f>
        <v>2500</v>
      </c>
      <c r="P381" s="75">
        <v>0</v>
      </c>
      <c r="Q381" s="75">
        <f t="shared" si="53"/>
        <v>0</v>
      </c>
      <c r="R381" s="75">
        <f t="shared" si="55"/>
        <v>0</v>
      </c>
      <c r="S381" s="13"/>
      <c r="T381" s="13"/>
      <c r="U381" s="13"/>
      <c r="V381" s="40"/>
      <c r="W381" s="13"/>
    </row>
    <row r="382" spans="1:23" ht="18.75" customHeight="1" x14ac:dyDescent="0.35">
      <c r="A382" s="14">
        <v>393</v>
      </c>
      <c r="B382" s="73" t="s">
        <v>1014</v>
      </c>
      <c r="C382" s="73" t="s">
        <v>1035</v>
      </c>
      <c r="D382" s="73" t="s">
        <v>428</v>
      </c>
      <c r="E382" s="73" t="s">
        <v>523</v>
      </c>
      <c r="F382" s="73" t="s">
        <v>1016</v>
      </c>
      <c r="G382" s="73" t="s">
        <v>23</v>
      </c>
      <c r="H382" s="76">
        <v>13</v>
      </c>
      <c r="I382" s="104" t="s">
        <v>1183</v>
      </c>
      <c r="J382" s="73" t="s">
        <v>24</v>
      </c>
      <c r="K382" s="73" t="s">
        <v>35</v>
      </c>
      <c r="L382" s="68">
        <v>12</v>
      </c>
      <c r="M382" s="75">
        <f t="shared" ref="M382:M396" si="56">H382*10000*0.25</f>
        <v>32500</v>
      </c>
      <c r="N382" s="75">
        <f t="shared" si="54"/>
        <v>390000</v>
      </c>
      <c r="O382" s="75">
        <f>M382*2</f>
        <v>65000</v>
      </c>
      <c r="P382" s="75">
        <f>M382*10*0.8</f>
        <v>260000</v>
      </c>
      <c r="Q382" s="75">
        <f t="shared" si="53"/>
        <v>3714.2857142857142</v>
      </c>
      <c r="R382" s="75">
        <f t="shared" si="55"/>
        <v>14857.142857142857</v>
      </c>
      <c r="S382" s="13"/>
      <c r="T382" s="13"/>
      <c r="U382" s="13"/>
      <c r="V382" s="40"/>
      <c r="W382" s="13"/>
    </row>
    <row r="383" spans="1:23" ht="18.75" customHeight="1" x14ac:dyDescent="0.35">
      <c r="A383" s="14">
        <v>394</v>
      </c>
      <c r="B383" s="73" t="s">
        <v>1014</v>
      </c>
      <c r="C383" s="73" t="s">
        <v>1036</v>
      </c>
      <c r="D383" s="73" t="s">
        <v>1037</v>
      </c>
      <c r="E383" s="73" t="s">
        <v>1038</v>
      </c>
      <c r="F383" s="73" t="s">
        <v>1016</v>
      </c>
      <c r="G383" s="73" t="s">
        <v>23</v>
      </c>
      <c r="H383" s="76">
        <v>21</v>
      </c>
      <c r="I383" s="104" t="s">
        <v>1182</v>
      </c>
      <c r="J383" s="73" t="s">
        <v>24</v>
      </c>
      <c r="K383" s="73" t="s">
        <v>51</v>
      </c>
      <c r="L383" s="68">
        <v>10</v>
      </c>
      <c r="M383" s="75">
        <f t="shared" si="56"/>
        <v>52500</v>
      </c>
      <c r="N383" s="75">
        <f t="shared" si="54"/>
        <v>525000</v>
      </c>
      <c r="O383" s="75">
        <f>M383*2</f>
        <v>105000</v>
      </c>
      <c r="P383" s="75">
        <f>M383*8*0.8</f>
        <v>336000</v>
      </c>
      <c r="Q383" s="75">
        <f t="shared" si="53"/>
        <v>4800</v>
      </c>
      <c r="R383" s="75">
        <f t="shared" si="55"/>
        <v>19200</v>
      </c>
      <c r="S383" s="13"/>
      <c r="T383" s="13"/>
      <c r="U383" s="13"/>
      <c r="V383" s="40"/>
      <c r="W383" s="13"/>
    </row>
    <row r="384" spans="1:23" ht="18.75" customHeight="1" x14ac:dyDescent="0.35">
      <c r="A384" s="14">
        <v>395</v>
      </c>
      <c r="B384" s="73" t="s">
        <v>1014</v>
      </c>
      <c r="C384" s="73" t="s">
        <v>1039</v>
      </c>
      <c r="D384" s="73" t="s">
        <v>546</v>
      </c>
      <c r="E384" s="73" t="s">
        <v>669</v>
      </c>
      <c r="F384" s="73" t="s">
        <v>1016</v>
      </c>
      <c r="G384" s="73" t="s">
        <v>23</v>
      </c>
      <c r="H384" s="74">
        <v>0.14000000000000001</v>
      </c>
      <c r="I384" s="104" t="s">
        <v>1181</v>
      </c>
      <c r="J384" s="73" t="s">
        <v>24</v>
      </c>
      <c r="K384" s="73" t="s">
        <v>35</v>
      </c>
      <c r="L384" s="68">
        <v>8</v>
      </c>
      <c r="M384" s="75">
        <f t="shared" si="56"/>
        <v>350.00000000000006</v>
      </c>
      <c r="N384" s="75">
        <f t="shared" si="54"/>
        <v>2800.0000000000005</v>
      </c>
      <c r="O384" s="75">
        <f>M384*2</f>
        <v>700.00000000000011</v>
      </c>
      <c r="P384" s="75">
        <f>M384*6*0.8</f>
        <v>1680.0000000000005</v>
      </c>
      <c r="Q384" s="75">
        <f t="shared" si="53"/>
        <v>24.000000000000007</v>
      </c>
      <c r="R384" s="75">
        <f t="shared" si="55"/>
        <v>96.000000000000028</v>
      </c>
      <c r="S384" s="13"/>
      <c r="T384" s="13"/>
      <c r="U384" s="13"/>
      <c r="V384" s="40"/>
      <c r="W384" s="13"/>
    </row>
    <row r="385" spans="1:23" ht="18.75" customHeight="1" x14ac:dyDescent="0.35">
      <c r="A385" s="14">
        <v>396</v>
      </c>
      <c r="B385" s="73" t="s">
        <v>1014</v>
      </c>
      <c r="C385" s="73" t="s">
        <v>1040</v>
      </c>
      <c r="D385" s="73" t="s">
        <v>428</v>
      </c>
      <c r="E385" s="73" t="s">
        <v>1041</v>
      </c>
      <c r="F385" s="73" t="s">
        <v>1042</v>
      </c>
      <c r="G385" s="73" t="s">
        <v>23</v>
      </c>
      <c r="H385" s="74">
        <v>37.5</v>
      </c>
      <c r="I385" s="104" t="s">
        <v>1180</v>
      </c>
      <c r="J385" s="73" t="s">
        <v>24</v>
      </c>
      <c r="K385" s="73" t="s">
        <v>51</v>
      </c>
      <c r="L385" s="68">
        <v>15</v>
      </c>
      <c r="M385" s="75">
        <f t="shared" si="56"/>
        <v>93750</v>
      </c>
      <c r="N385" s="75">
        <f t="shared" si="54"/>
        <v>1406250</v>
      </c>
      <c r="O385" s="75">
        <f>M385*3</f>
        <v>281250</v>
      </c>
      <c r="P385" s="75">
        <f>M385*12*0.8</f>
        <v>900000</v>
      </c>
      <c r="Q385" s="75">
        <f t="shared" si="53"/>
        <v>12857.142857142857</v>
      </c>
      <c r="R385" s="75">
        <f t="shared" si="55"/>
        <v>51428.571428571428</v>
      </c>
      <c r="S385" s="13"/>
      <c r="T385" s="13"/>
      <c r="U385" s="13"/>
      <c r="V385" s="40"/>
      <c r="W385" s="13"/>
    </row>
    <row r="386" spans="1:23" ht="18.75" customHeight="1" x14ac:dyDescent="0.35">
      <c r="A386" s="14">
        <v>397</v>
      </c>
      <c r="B386" s="73" t="s">
        <v>1014</v>
      </c>
      <c r="C386" s="73" t="s">
        <v>1043</v>
      </c>
      <c r="D386" s="73" t="s">
        <v>1044</v>
      </c>
      <c r="E386" s="73" t="s">
        <v>665</v>
      </c>
      <c r="F386" s="73" t="s">
        <v>1016</v>
      </c>
      <c r="G386" s="73" t="s">
        <v>23</v>
      </c>
      <c r="H386" s="76">
        <v>5</v>
      </c>
      <c r="I386" s="104" t="s">
        <v>1179</v>
      </c>
      <c r="J386" s="73" t="s">
        <v>24</v>
      </c>
      <c r="K386" s="73" t="s">
        <v>35</v>
      </c>
      <c r="L386" s="68">
        <v>7</v>
      </c>
      <c r="M386" s="75">
        <f t="shared" si="56"/>
        <v>12500</v>
      </c>
      <c r="N386" s="75">
        <f t="shared" si="54"/>
        <v>87500</v>
      </c>
      <c r="O386" s="75">
        <f>M386*2</f>
        <v>25000</v>
      </c>
      <c r="P386" s="75">
        <f>M386*5*0.8</f>
        <v>50000</v>
      </c>
      <c r="Q386" s="75">
        <f t="shared" si="53"/>
        <v>714.28571428571433</v>
      </c>
      <c r="R386" s="75">
        <f t="shared" si="55"/>
        <v>2857.1428571428573</v>
      </c>
      <c r="S386" s="13"/>
      <c r="T386" s="13"/>
      <c r="U386" s="13"/>
      <c r="V386" s="40"/>
      <c r="W386" s="13"/>
    </row>
    <row r="387" spans="1:23" ht="18.75" customHeight="1" x14ac:dyDescent="0.35">
      <c r="A387" s="14">
        <v>398</v>
      </c>
      <c r="B387" s="73" t="s">
        <v>1014</v>
      </c>
      <c r="C387" s="73" t="s">
        <v>1045</v>
      </c>
      <c r="D387" s="73" t="s">
        <v>1046</v>
      </c>
      <c r="E387" s="73" t="s">
        <v>523</v>
      </c>
      <c r="F387" s="73" t="s">
        <v>1016</v>
      </c>
      <c r="G387" s="73" t="s">
        <v>23</v>
      </c>
      <c r="H387" s="74">
        <v>2.5</v>
      </c>
      <c r="I387" s="104" t="s">
        <v>1178</v>
      </c>
      <c r="J387" s="73" t="s">
        <v>24</v>
      </c>
      <c r="K387" s="73" t="s">
        <v>35</v>
      </c>
      <c r="L387" s="68">
        <v>10</v>
      </c>
      <c r="M387" s="75">
        <f t="shared" si="56"/>
        <v>6250</v>
      </c>
      <c r="N387" s="75">
        <f t="shared" si="54"/>
        <v>62500</v>
      </c>
      <c r="O387" s="75">
        <f>M387*2</f>
        <v>12500</v>
      </c>
      <c r="P387" s="75">
        <f>M387*8*0.8</f>
        <v>40000</v>
      </c>
      <c r="Q387" s="75">
        <f t="shared" si="53"/>
        <v>571.42857142857144</v>
      </c>
      <c r="R387" s="75">
        <f t="shared" si="55"/>
        <v>2285.7142857142858</v>
      </c>
      <c r="S387" s="13"/>
      <c r="T387" s="13"/>
      <c r="U387" s="13"/>
      <c r="V387" s="40"/>
      <c r="W387" s="13"/>
    </row>
    <row r="388" spans="1:23" ht="18.75" customHeight="1" x14ac:dyDescent="0.35">
      <c r="A388" s="14">
        <v>399</v>
      </c>
      <c r="B388" s="73" t="s">
        <v>1014</v>
      </c>
      <c r="C388" s="73" t="s">
        <v>1045</v>
      </c>
      <c r="D388" s="73" t="s">
        <v>1033</v>
      </c>
      <c r="E388" s="73" t="s">
        <v>546</v>
      </c>
      <c r="F388" s="73" t="s">
        <v>1047</v>
      </c>
      <c r="G388" s="73" t="s">
        <v>251</v>
      </c>
      <c r="H388" s="74">
        <v>2.8</v>
      </c>
      <c r="I388" s="104" t="s">
        <v>1177</v>
      </c>
      <c r="J388" s="73" t="s">
        <v>30</v>
      </c>
      <c r="K388" s="73" t="s">
        <v>1021</v>
      </c>
      <c r="L388" s="68">
        <v>5</v>
      </c>
      <c r="M388" s="75">
        <f t="shared" si="56"/>
        <v>7000</v>
      </c>
      <c r="N388" s="75">
        <f t="shared" si="54"/>
        <v>35000</v>
      </c>
      <c r="O388" s="75">
        <f>M388*L388</f>
        <v>35000</v>
      </c>
      <c r="P388" s="75">
        <v>0</v>
      </c>
      <c r="Q388" s="75">
        <f t="shared" si="53"/>
        <v>0</v>
      </c>
      <c r="R388" s="75">
        <f t="shared" si="55"/>
        <v>0</v>
      </c>
      <c r="S388" s="13"/>
      <c r="T388" s="13"/>
      <c r="U388" s="13"/>
      <c r="V388" s="40"/>
      <c r="W388" s="13"/>
    </row>
    <row r="389" spans="1:23" ht="18.75" customHeight="1" x14ac:dyDescent="0.35">
      <c r="A389" s="14">
        <v>400</v>
      </c>
      <c r="B389" s="73" t="s">
        <v>1014</v>
      </c>
      <c r="C389" s="73" t="s">
        <v>1048</v>
      </c>
      <c r="D389" s="73" t="s">
        <v>1033</v>
      </c>
      <c r="E389" s="73" t="s">
        <v>523</v>
      </c>
      <c r="F389" s="73" t="s">
        <v>1016</v>
      </c>
      <c r="G389" s="73" t="s">
        <v>23</v>
      </c>
      <c r="H389" s="74">
        <v>3.6</v>
      </c>
      <c r="I389" s="104" t="s">
        <v>1176</v>
      </c>
      <c r="J389" s="73" t="s">
        <v>30</v>
      </c>
      <c r="K389" s="73" t="s">
        <v>35</v>
      </c>
      <c r="L389" s="68">
        <v>10</v>
      </c>
      <c r="M389" s="75">
        <f t="shared" si="56"/>
        <v>9000</v>
      </c>
      <c r="N389" s="75">
        <f t="shared" si="54"/>
        <v>90000</v>
      </c>
      <c r="O389" s="75">
        <f>M389*2</f>
        <v>18000</v>
      </c>
      <c r="P389" s="75">
        <f>M389*8*0.8</f>
        <v>57600</v>
      </c>
      <c r="Q389" s="75">
        <f t="shared" si="53"/>
        <v>822.85714285714289</v>
      </c>
      <c r="R389" s="75">
        <f t="shared" si="55"/>
        <v>3291.4285714285716</v>
      </c>
      <c r="S389" s="13"/>
      <c r="T389" s="13"/>
      <c r="U389" s="13"/>
      <c r="V389" s="40"/>
      <c r="W389" s="13"/>
    </row>
    <row r="390" spans="1:23" s="1" customFormat="1" ht="18.75" customHeight="1" x14ac:dyDescent="0.35">
      <c r="A390" s="14">
        <v>401</v>
      </c>
      <c r="B390" s="73" t="s">
        <v>1014</v>
      </c>
      <c r="C390" s="73" t="s">
        <v>1049</v>
      </c>
      <c r="D390" s="73" t="s">
        <v>546</v>
      </c>
      <c r="E390" s="73" t="s">
        <v>645</v>
      </c>
      <c r="F390" s="73" t="s">
        <v>1016</v>
      </c>
      <c r="G390" s="73" t="s">
        <v>23</v>
      </c>
      <c r="H390" s="74">
        <v>4.83</v>
      </c>
      <c r="I390" s="104" t="s">
        <v>1175</v>
      </c>
      <c r="J390" s="73" t="s">
        <v>24</v>
      </c>
      <c r="K390" s="73" t="s">
        <v>51</v>
      </c>
      <c r="L390" s="77">
        <v>10</v>
      </c>
      <c r="M390" s="75">
        <f t="shared" si="56"/>
        <v>12075</v>
      </c>
      <c r="N390" s="75">
        <f t="shared" si="54"/>
        <v>120750</v>
      </c>
      <c r="O390" s="75">
        <f>M390*2</f>
        <v>24150</v>
      </c>
      <c r="P390" s="75">
        <f>M390*8*0.8</f>
        <v>77280</v>
      </c>
      <c r="Q390" s="75">
        <f t="shared" si="53"/>
        <v>1104</v>
      </c>
      <c r="R390" s="75">
        <f t="shared" si="55"/>
        <v>4416</v>
      </c>
      <c r="S390" s="13"/>
      <c r="T390" s="13"/>
      <c r="U390" s="13"/>
      <c r="V390" s="13"/>
      <c r="W390" s="13"/>
    </row>
    <row r="391" spans="1:23" ht="18.75" customHeight="1" x14ac:dyDescent="0.35">
      <c r="A391" s="14">
        <v>402</v>
      </c>
      <c r="B391" s="73" t="s">
        <v>1014</v>
      </c>
      <c r="C391" s="73" t="s">
        <v>1050</v>
      </c>
      <c r="D391" s="73" t="s">
        <v>1051</v>
      </c>
      <c r="E391" s="73" t="s">
        <v>650</v>
      </c>
      <c r="F391" s="73" t="s">
        <v>1016</v>
      </c>
      <c r="G391" s="73" t="s">
        <v>23</v>
      </c>
      <c r="H391" s="76">
        <v>17</v>
      </c>
      <c r="I391" s="104" t="s">
        <v>1174</v>
      </c>
      <c r="J391" s="73" t="s">
        <v>24</v>
      </c>
      <c r="K391" s="73" t="s">
        <v>51</v>
      </c>
      <c r="L391" s="68">
        <v>8</v>
      </c>
      <c r="M391" s="75">
        <f t="shared" si="56"/>
        <v>42500</v>
      </c>
      <c r="N391" s="75">
        <f t="shared" si="54"/>
        <v>340000</v>
      </c>
      <c r="O391" s="75">
        <f>M391*2</f>
        <v>85000</v>
      </c>
      <c r="P391" s="75">
        <f>M391*6*0.8</f>
        <v>204000</v>
      </c>
      <c r="Q391" s="75">
        <f t="shared" si="53"/>
        <v>2914.2857142857142</v>
      </c>
      <c r="R391" s="75">
        <f t="shared" si="55"/>
        <v>11657.142857142857</v>
      </c>
      <c r="S391" s="13"/>
      <c r="T391" s="13"/>
      <c r="U391" s="13"/>
      <c r="V391" s="40"/>
      <c r="W391" s="13"/>
    </row>
    <row r="392" spans="1:23" ht="55.5" customHeight="1" x14ac:dyDescent="0.35">
      <c r="A392" s="14">
        <v>403</v>
      </c>
      <c r="B392" s="73" t="s">
        <v>1014</v>
      </c>
      <c r="C392" s="73" t="s">
        <v>1052</v>
      </c>
      <c r="D392" s="73" t="s">
        <v>1033</v>
      </c>
      <c r="E392" s="73" t="s">
        <v>546</v>
      </c>
      <c r="F392" s="73" t="s">
        <v>1016</v>
      </c>
      <c r="G392" s="73" t="s">
        <v>23</v>
      </c>
      <c r="H392" s="74">
        <v>1.2</v>
      </c>
      <c r="I392" s="104" t="s">
        <v>1173</v>
      </c>
      <c r="J392" s="73" t="s">
        <v>24</v>
      </c>
      <c r="K392" s="73" t="s">
        <v>35</v>
      </c>
      <c r="L392" s="78">
        <v>5</v>
      </c>
      <c r="M392" s="75">
        <f t="shared" si="56"/>
        <v>3000</v>
      </c>
      <c r="N392" s="75">
        <f t="shared" si="54"/>
        <v>15000</v>
      </c>
      <c r="O392" s="75">
        <f>M392*0</f>
        <v>0</v>
      </c>
      <c r="P392" s="75">
        <f>M392*5*0.8</f>
        <v>12000</v>
      </c>
      <c r="Q392" s="75">
        <f t="shared" si="53"/>
        <v>171.42857142857142</v>
      </c>
      <c r="R392" s="75">
        <f t="shared" si="55"/>
        <v>685.71428571428567</v>
      </c>
      <c r="S392" s="13"/>
      <c r="T392" s="13"/>
      <c r="U392" s="13"/>
      <c r="V392" s="40"/>
      <c r="W392" s="13"/>
    </row>
    <row r="393" spans="1:23" ht="18.75" customHeight="1" x14ac:dyDescent="0.35">
      <c r="A393" s="14">
        <v>404</v>
      </c>
      <c r="B393" s="73" t="s">
        <v>1014</v>
      </c>
      <c r="C393" s="73" t="s">
        <v>1052</v>
      </c>
      <c r="D393" s="73" t="s">
        <v>1053</v>
      </c>
      <c r="E393" s="73" t="s">
        <v>782</v>
      </c>
      <c r="F393" s="73" t="s">
        <v>1026</v>
      </c>
      <c r="G393" s="73" t="s">
        <v>29</v>
      </c>
      <c r="H393" s="74">
        <v>0.5</v>
      </c>
      <c r="I393" s="104" t="s">
        <v>1172</v>
      </c>
      <c r="J393" s="73" t="s">
        <v>24</v>
      </c>
      <c r="K393" s="73" t="s">
        <v>35</v>
      </c>
      <c r="L393" s="68">
        <v>5</v>
      </c>
      <c r="M393" s="75">
        <f t="shared" si="56"/>
        <v>1250</v>
      </c>
      <c r="N393" s="75">
        <f t="shared" si="54"/>
        <v>6250</v>
      </c>
      <c r="O393" s="75">
        <f>M393*L393</f>
        <v>6250</v>
      </c>
      <c r="P393" s="75">
        <v>0</v>
      </c>
      <c r="Q393" s="75">
        <f t="shared" si="53"/>
        <v>0</v>
      </c>
      <c r="R393" s="75">
        <f t="shared" si="55"/>
        <v>0</v>
      </c>
      <c r="S393" s="13"/>
      <c r="T393" s="13"/>
      <c r="U393" s="13"/>
      <c r="V393" s="40"/>
      <c r="W393" s="13"/>
    </row>
    <row r="394" spans="1:23" ht="18.75" customHeight="1" x14ac:dyDescent="0.35">
      <c r="A394" s="14">
        <v>405</v>
      </c>
      <c r="B394" s="73" t="s">
        <v>1014</v>
      </c>
      <c r="C394" s="73" t="s">
        <v>1054</v>
      </c>
      <c r="D394" s="73" t="s">
        <v>1017</v>
      </c>
      <c r="E394" s="73" t="s">
        <v>968</v>
      </c>
      <c r="F394" s="73" t="s">
        <v>1026</v>
      </c>
      <c r="G394" s="73" t="s">
        <v>29</v>
      </c>
      <c r="H394" s="74">
        <v>0.1</v>
      </c>
      <c r="I394" s="104" t="s">
        <v>1171</v>
      </c>
      <c r="J394" s="73" t="s">
        <v>24</v>
      </c>
      <c r="K394" s="73" t="s">
        <v>35</v>
      </c>
      <c r="L394" s="68">
        <v>2</v>
      </c>
      <c r="M394" s="75">
        <f t="shared" si="56"/>
        <v>250</v>
      </c>
      <c r="N394" s="75">
        <f t="shared" si="54"/>
        <v>500</v>
      </c>
      <c r="O394" s="75">
        <f>M394*L394</f>
        <v>500</v>
      </c>
      <c r="P394" s="75">
        <v>0</v>
      </c>
      <c r="Q394" s="75">
        <f t="shared" si="53"/>
        <v>0</v>
      </c>
      <c r="R394" s="75">
        <f t="shared" si="55"/>
        <v>0</v>
      </c>
      <c r="S394" s="13"/>
      <c r="T394" s="13"/>
      <c r="U394" s="13"/>
      <c r="V394" s="40"/>
      <c r="W394" s="13"/>
    </row>
    <row r="395" spans="1:23" ht="18.75" customHeight="1" x14ac:dyDescent="0.35">
      <c r="A395" s="14">
        <v>406</v>
      </c>
      <c r="B395" s="73" t="s">
        <v>1014</v>
      </c>
      <c r="C395" s="73" t="s">
        <v>1052</v>
      </c>
      <c r="D395" s="73" t="s">
        <v>1033</v>
      </c>
      <c r="E395" s="73" t="s">
        <v>546</v>
      </c>
      <c r="F395" s="73" t="s">
        <v>1016</v>
      </c>
      <c r="G395" s="73" t="s">
        <v>23</v>
      </c>
      <c r="H395" s="74">
        <v>1.2</v>
      </c>
      <c r="I395" s="104" t="s">
        <v>1170</v>
      </c>
      <c r="J395" s="73" t="s">
        <v>24</v>
      </c>
      <c r="K395" s="73" t="s">
        <v>35</v>
      </c>
      <c r="L395" s="68">
        <v>4</v>
      </c>
      <c r="M395" s="75">
        <f t="shared" si="56"/>
        <v>3000</v>
      </c>
      <c r="N395" s="75">
        <f t="shared" si="54"/>
        <v>12000</v>
      </c>
      <c r="O395" s="75">
        <f>M395*0</f>
        <v>0</v>
      </c>
      <c r="P395" s="75">
        <f>M395*4*0.8</f>
        <v>9600</v>
      </c>
      <c r="Q395" s="75">
        <f t="shared" si="53"/>
        <v>137.14285714285714</v>
      </c>
      <c r="R395" s="75">
        <f t="shared" si="55"/>
        <v>548.57142857142856</v>
      </c>
      <c r="S395" s="13"/>
      <c r="T395" s="13"/>
      <c r="U395" s="13"/>
      <c r="V395" s="40"/>
      <c r="W395" s="13"/>
    </row>
    <row r="396" spans="1:23" ht="18.75" customHeight="1" x14ac:dyDescent="0.35">
      <c r="A396" s="14">
        <v>407</v>
      </c>
      <c r="B396" s="73" t="s">
        <v>1014</v>
      </c>
      <c r="C396" s="73" t="s">
        <v>1052</v>
      </c>
      <c r="D396" s="73" t="s">
        <v>1028</v>
      </c>
      <c r="E396" s="73" t="s">
        <v>1025</v>
      </c>
      <c r="F396" s="73" t="s">
        <v>1016</v>
      </c>
      <c r="G396" s="73" t="s">
        <v>23</v>
      </c>
      <c r="H396" s="76">
        <v>2</v>
      </c>
      <c r="I396" s="104" t="s">
        <v>1169</v>
      </c>
      <c r="J396" s="73" t="s">
        <v>24</v>
      </c>
      <c r="K396" s="73" t="s">
        <v>51</v>
      </c>
      <c r="L396" s="68">
        <v>2</v>
      </c>
      <c r="M396" s="75">
        <f t="shared" si="56"/>
        <v>5000</v>
      </c>
      <c r="N396" s="75">
        <f t="shared" si="54"/>
        <v>10000</v>
      </c>
      <c r="O396" s="75">
        <f>M396*0</f>
        <v>0</v>
      </c>
      <c r="P396" s="75">
        <f>M396*2*0.8</f>
        <v>8000</v>
      </c>
      <c r="Q396" s="75">
        <f t="shared" si="53"/>
        <v>114.28571428571429</v>
      </c>
      <c r="R396" s="75">
        <f t="shared" si="55"/>
        <v>457.14285714285717</v>
      </c>
      <c r="S396" s="13"/>
      <c r="T396" s="13"/>
      <c r="U396" s="13"/>
      <c r="V396" s="40"/>
      <c r="W396" s="13"/>
    </row>
    <row r="397" spans="1:23" ht="18.75" customHeight="1" x14ac:dyDescent="0.35">
      <c r="A397" s="14">
        <v>408</v>
      </c>
      <c r="B397" s="73" t="s">
        <v>1014</v>
      </c>
      <c r="C397" s="73" t="s">
        <v>1052</v>
      </c>
      <c r="D397" s="73" t="s">
        <v>1028</v>
      </c>
      <c r="E397" s="73" t="s">
        <v>546</v>
      </c>
      <c r="F397" s="73" t="s">
        <v>1034</v>
      </c>
      <c r="G397" s="73" t="s">
        <v>84</v>
      </c>
      <c r="H397" s="74">
        <v>0.05</v>
      </c>
      <c r="I397" s="104" t="s">
        <v>1168</v>
      </c>
      <c r="J397" s="73" t="s">
        <v>24</v>
      </c>
      <c r="K397" s="73" t="s">
        <v>35</v>
      </c>
      <c r="L397" s="68">
        <v>5</v>
      </c>
      <c r="M397" s="75">
        <f>H397*10000</f>
        <v>500</v>
      </c>
      <c r="N397" s="75">
        <f t="shared" si="54"/>
        <v>2500</v>
      </c>
      <c r="O397" s="75">
        <f>M397*L397</f>
        <v>2500</v>
      </c>
      <c r="P397" s="75">
        <v>0</v>
      </c>
      <c r="Q397" s="75">
        <f t="shared" si="53"/>
        <v>0</v>
      </c>
      <c r="R397" s="75">
        <f t="shared" si="55"/>
        <v>0</v>
      </c>
      <c r="S397" s="13"/>
      <c r="T397" s="13"/>
      <c r="U397" s="13"/>
      <c r="V397" s="40"/>
      <c r="W397" s="13"/>
    </row>
    <row r="398" spans="1:23" ht="18.75" customHeight="1" x14ac:dyDescent="0.35">
      <c r="A398" s="14">
        <v>409</v>
      </c>
      <c r="B398" s="73" t="s">
        <v>1014</v>
      </c>
      <c r="C398" s="73" t="s">
        <v>1052</v>
      </c>
      <c r="D398" s="73" t="s">
        <v>1025</v>
      </c>
      <c r="E398" s="73" t="s">
        <v>673</v>
      </c>
      <c r="F398" s="73" t="s">
        <v>1016</v>
      </c>
      <c r="G398" s="73" t="s">
        <v>23</v>
      </c>
      <c r="H398" s="74">
        <v>2.1</v>
      </c>
      <c r="I398" s="104" t="s">
        <v>1167</v>
      </c>
      <c r="J398" s="73" t="s">
        <v>24</v>
      </c>
      <c r="K398" s="73" t="s">
        <v>51</v>
      </c>
      <c r="L398" s="68">
        <v>4</v>
      </c>
      <c r="M398" s="75">
        <f t="shared" ref="M398:M422" si="57">H398*10000*0.25</f>
        <v>5250</v>
      </c>
      <c r="N398" s="75">
        <f t="shared" si="54"/>
        <v>21000</v>
      </c>
      <c r="O398" s="75">
        <f>M398*0</f>
        <v>0</v>
      </c>
      <c r="P398" s="75">
        <f>M398*4*0.8</f>
        <v>16800</v>
      </c>
      <c r="Q398" s="75">
        <f t="shared" si="53"/>
        <v>240</v>
      </c>
      <c r="R398" s="75">
        <f t="shared" si="55"/>
        <v>960</v>
      </c>
      <c r="S398" s="13"/>
      <c r="T398" s="13"/>
      <c r="U398" s="13"/>
      <c r="V398" s="40"/>
      <c r="W398" s="13"/>
    </row>
    <row r="399" spans="1:23" ht="18.75" customHeight="1" x14ac:dyDescent="0.35">
      <c r="A399" s="14">
        <v>410</v>
      </c>
      <c r="B399" s="73" t="s">
        <v>1014</v>
      </c>
      <c r="C399" s="73" t="s">
        <v>1055</v>
      </c>
      <c r="D399" s="73" t="s">
        <v>1025</v>
      </c>
      <c r="E399" s="73" t="s">
        <v>673</v>
      </c>
      <c r="F399" s="73" t="s">
        <v>1016</v>
      </c>
      <c r="G399" s="73" t="s">
        <v>23</v>
      </c>
      <c r="H399" s="74">
        <v>6.6</v>
      </c>
      <c r="I399" s="104" t="s">
        <v>1166</v>
      </c>
      <c r="J399" s="73" t="s">
        <v>24</v>
      </c>
      <c r="K399" s="73" t="s">
        <v>51</v>
      </c>
      <c r="L399" s="79">
        <v>3.5</v>
      </c>
      <c r="M399" s="75">
        <f t="shared" si="57"/>
        <v>16500</v>
      </c>
      <c r="N399" s="75">
        <f t="shared" si="54"/>
        <v>57750</v>
      </c>
      <c r="O399" s="75">
        <f>M399*1</f>
        <v>16500</v>
      </c>
      <c r="P399" s="75">
        <f>M399*2.5*0.8</f>
        <v>33000</v>
      </c>
      <c r="Q399" s="75">
        <f t="shared" si="53"/>
        <v>471.42857142857144</v>
      </c>
      <c r="R399" s="75">
        <f t="shared" si="55"/>
        <v>1885.7142857142858</v>
      </c>
      <c r="S399" s="13"/>
      <c r="T399" s="13"/>
      <c r="U399" s="13"/>
      <c r="V399" s="40"/>
      <c r="W399" s="13"/>
    </row>
    <row r="400" spans="1:23" ht="18.75" customHeight="1" x14ac:dyDescent="0.35">
      <c r="A400" s="14">
        <v>411</v>
      </c>
      <c r="B400" s="73" t="s">
        <v>1014</v>
      </c>
      <c r="C400" s="73" t="s">
        <v>1056</v>
      </c>
      <c r="D400" s="73" t="s">
        <v>1017</v>
      </c>
      <c r="E400" s="73" t="s">
        <v>1025</v>
      </c>
      <c r="F400" s="73" t="s">
        <v>1026</v>
      </c>
      <c r="G400" s="73" t="s">
        <v>29</v>
      </c>
      <c r="H400" s="74">
        <v>0.5</v>
      </c>
      <c r="I400" s="104" t="s">
        <v>1165</v>
      </c>
      <c r="J400" s="73" t="s">
        <v>30</v>
      </c>
      <c r="K400" s="73" t="s">
        <v>1021</v>
      </c>
      <c r="L400" s="68">
        <v>3</v>
      </c>
      <c r="M400" s="75">
        <f t="shared" si="57"/>
        <v>1250</v>
      </c>
      <c r="N400" s="75">
        <f t="shared" si="54"/>
        <v>3750</v>
      </c>
      <c r="O400" s="75">
        <f>M400*L400</f>
        <v>3750</v>
      </c>
      <c r="P400" s="75">
        <v>0</v>
      </c>
      <c r="Q400" s="75">
        <f t="shared" si="53"/>
        <v>0</v>
      </c>
      <c r="R400" s="75">
        <f t="shared" si="55"/>
        <v>0</v>
      </c>
      <c r="S400" s="13"/>
      <c r="T400" s="13"/>
      <c r="U400" s="13"/>
      <c r="V400" s="40"/>
      <c r="W400" s="13"/>
    </row>
    <row r="401" spans="1:23" ht="18.75" customHeight="1" x14ac:dyDescent="0.35">
      <c r="A401" s="14">
        <v>412</v>
      </c>
      <c r="B401" s="73" t="s">
        <v>1014</v>
      </c>
      <c r="C401" s="73" t="s">
        <v>1057</v>
      </c>
      <c r="D401" s="73" t="s">
        <v>1033</v>
      </c>
      <c r="E401" s="73" t="s">
        <v>1025</v>
      </c>
      <c r="F401" s="73" t="s">
        <v>1058</v>
      </c>
      <c r="G401" s="73" t="s">
        <v>23</v>
      </c>
      <c r="H401" s="74">
        <v>0.4</v>
      </c>
      <c r="I401" s="104" t="s">
        <v>1164</v>
      </c>
      <c r="J401" s="73" t="s">
        <v>30</v>
      </c>
      <c r="K401" s="73" t="s">
        <v>35</v>
      </c>
      <c r="L401" s="68">
        <v>3</v>
      </c>
      <c r="M401" s="75">
        <f t="shared" si="57"/>
        <v>1000</v>
      </c>
      <c r="N401" s="75">
        <f t="shared" si="54"/>
        <v>3000</v>
      </c>
      <c r="O401" s="75">
        <f>M401*1</f>
        <v>1000</v>
      </c>
      <c r="P401" s="75">
        <f>M401*2*0.8</f>
        <v>1600</v>
      </c>
      <c r="Q401" s="75">
        <f t="shared" si="53"/>
        <v>22.857142857142858</v>
      </c>
      <c r="R401" s="75">
        <f t="shared" si="55"/>
        <v>91.428571428571431</v>
      </c>
      <c r="S401" s="13"/>
      <c r="T401" s="13"/>
      <c r="U401" s="13"/>
      <c r="V401" s="40"/>
      <c r="W401" s="13"/>
    </row>
    <row r="402" spans="1:23" ht="31" x14ac:dyDescent="0.35">
      <c r="A402" s="14">
        <v>413</v>
      </c>
      <c r="B402" s="80" t="s">
        <v>1059</v>
      </c>
      <c r="C402" s="80" t="s">
        <v>1060</v>
      </c>
      <c r="D402" s="80" t="s">
        <v>1061</v>
      </c>
      <c r="E402" s="80" t="s">
        <v>1062</v>
      </c>
      <c r="F402" s="80" t="s">
        <v>1063</v>
      </c>
      <c r="G402" s="80" t="s">
        <v>23</v>
      </c>
      <c r="H402" s="81">
        <v>15</v>
      </c>
      <c r="I402" s="93" t="s">
        <v>1163</v>
      </c>
      <c r="J402" s="80" t="s">
        <v>30</v>
      </c>
      <c r="K402" s="80" t="s">
        <v>35</v>
      </c>
      <c r="L402" s="68">
        <v>15</v>
      </c>
      <c r="M402" s="82">
        <f t="shared" si="57"/>
        <v>37500</v>
      </c>
      <c r="N402" s="82">
        <f t="shared" si="54"/>
        <v>562500</v>
      </c>
      <c r="O402" s="82">
        <f>M402*2</f>
        <v>75000</v>
      </c>
      <c r="P402" s="82">
        <f>M402*13*0.8</f>
        <v>390000</v>
      </c>
      <c r="Q402" s="82">
        <f t="shared" si="53"/>
        <v>5571.4285714285716</v>
      </c>
      <c r="R402" s="82">
        <f t="shared" si="55"/>
        <v>22285.714285714286</v>
      </c>
      <c r="S402" s="13"/>
      <c r="T402" s="13"/>
      <c r="U402" s="13"/>
      <c r="V402" s="40"/>
      <c r="W402" s="13"/>
    </row>
    <row r="403" spans="1:23" ht="18.75" customHeight="1" x14ac:dyDescent="0.35">
      <c r="A403" s="14">
        <v>414</v>
      </c>
      <c r="B403" s="80" t="s">
        <v>1059</v>
      </c>
      <c r="C403" s="80" t="s">
        <v>1064</v>
      </c>
      <c r="D403" s="80" t="s">
        <v>1065</v>
      </c>
      <c r="E403" s="80" t="s">
        <v>1066</v>
      </c>
      <c r="F403" s="80" t="s">
        <v>1067</v>
      </c>
      <c r="G403" s="80" t="s">
        <v>23</v>
      </c>
      <c r="H403" s="83">
        <v>58.5</v>
      </c>
      <c r="I403" s="93" t="s">
        <v>1162</v>
      </c>
      <c r="J403" s="80" t="s">
        <v>30</v>
      </c>
      <c r="K403" s="80" t="s">
        <v>35</v>
      </c>
      <c r="L403" s="68">
        <v>15</v>
      </c>
      <c r="M403" s="82">
        <f t="shared" si="57"/>
        <v>146250</v>
      </c>
      <c r="N403" s="82">
        <f t="shared" si="54"/>
        <v>2193750</v>
      </c>
      <c r="O403" s="82">
        <f>M403*2</f>
        <v>292500</v>
      </c>
      <c r="P403" s="82">
        <f>M403*13*0.8</f>
        <v>1521000</v>
      </c>
      <c r="Q403" s="82">
        <f t="shared" ref="Q403:Q422" si="58">P403/70</f>
        <v>21728.571428571428</v>
      </c>
      <c r="R403" s="82">
        <f t="shared" si="55"/>
        <v>86914.28571428571</v>
      </c>
      <c r="S403" s="13"/>
      <c r="T403" s="13"/>
      <c r="U403" s="13"/>
      <c r="V403" s="40"/>
      <c r="W403" s="13"/>
    </row>
    <row r="404" spans="1:23" ht="18.75" customHeight="1" x14ac:dyDescent="0.35">
      <c r="A404" s="14">
        <v>415</v>
      </c>
      <c r="B404" s="80" t="s">
        <v>1059</v>
      </c>
      <c r="C404" s="80" t="s">
        <v>1068</v>
      </c>
      <c r="D404" s="80" t="s">
        <v>1061</v>
      </c>
      <c r="E404" s="80" t="s">
        <v>1069</v>
      </c>
      <c r="F404" s="80" t="s">
        <v>1067</v>
      </c>
      <c r="G404" s="80" t="s">
        <v>23</v>
      </c>
      <c r="H404" s="83">
        <v>2.2999999999999998</v>
      </c>
      <c r="I404" s="93" t="s">
        <v>1161</v>
      </c>
      <c r="J404" s="80" t="s">
        <v>30</v>
      </c>
      <c r="K404" s="80" t="s">
        <v>35</v>
      </c>
      <c r="L404" s="68">
        <v>12</v>
      </c>
      <c r="M404" s="82">
        <f t="shared" si="57"/>
        <v>5750</v>
      </c>
      <c r="N404" s="82">
        <f t="shared" si="54"/>
        <v>69000</v>
      </c>
      <c r="O404" s="82">
        <f>M404*2</f>
        <v>11500</v>
      </c>
      <c r="P404" s="82">
        <f>M404*10*0.8</f>
        <v>46000</v>
      </c>
      <c r="Q404" s="82">
        <f t="shared" si="58"/>
        <v>657.14285714285711</v>
      </c>
      <c r="R404" s="82">
        <f t="shared" si="55"/>
        <v>2628.5714285714284</v>
      </c>
      <c r="S404" s="13"/>
      <c r="T404" s="13"/>
      <c r="U404" s="13"/>
      <c r="V404" s="40"/>
      <c r="W404" s="13"/>
    </row>
    <row r="405" spans="1:23" ht="18.75" customHeight="1" x14ac:dyDescent="0.35">
      <c r="A405" s="14">
        <v>416</v>
      </c>
      <c r="B405" s="80" t="s">
        <v>1059</v>
      </c>
      <c r="C405" s="80" t="s">
        <v>1070</v>
      </c>
      <c r="D405" s="80" t="s">
        <v>1071</v>
      </c>
      <c r="E405" s="80" t="s">
        <v>1072</v>
      </c>
      <c r="F405" s="80" t="s">
        <v>1073</v>
      </c>
      <c r="G405" s="80" t="s">
        <v>23</v>
      </c>
      <c r="H405" s="83">
        <v>1.7</v>
      </c>
      <c r="I405" s="93" t="s">
        <v>1160</v>
      </c>
      <c r="J405" s="80" t="s">
        <v>30</v>
      </c>
      <c r="K405" s="80" t="s">
        <v>35</v>
      </c>
      <c r="L405" s="68">
        <v>15</v>
      </c>
      <c r="M405" s="82">
        <f t="shared" si="57"/>
        <v>4250</v>
      </c>
      <c r="N405" s="82">
        <f t="shared" si="54"/>
        <v>63750</v>
      </c>
      <c r="O405" s="82">
        <f>M405*2</f>
        <v>8500</v>
      </c>
      <c r="P405" s="82">
        <f>M405*13*0.8</f>
        <v>44200</v>
      </c>
      <c r="Q405" s="82">
        <f t="shared" si="58"/>
        <v>631.42857142857144</v>
      </c>
      <c r="R405" s="82">
        <f t="shared" si="55"/>
        <v>2525.7142857142858</v>
      </c>
      <c r="S405" s="13"/>
      <c r="T405" s="13"/>
      <c r="U405" s="13"/>
      <c r="V405" s="40"/>
      <c r="W405" s="13"/>
    </row>
    <row r="406" spans="1:23" ht="18.75" customHeight="1" x14ac:dyDescent="0.35">
      <c r="A406" s="14">
        <v>417</v>
      </c>
      <c r="B406" s="80" t="s">
        <v>1059</v>
      </c>
      <c r="C406" s="80" t="s">
        <v>1074</v>
      </c>
      <c r="D406" s="80" t="s">
        <v>1071</v>
      </c>
      <c r="E406" s="80" t="s">
        <v>1075</v>
      </c>
      <c r="F406" s="80" t="s">
        <v>1067</v>
      </c>
      <c r="G406" s="80" t="s">
        <v>23</v>
      </c>
      <c r="H406" s="81">
        <v>2</v>
      </c>
      <c r="I406" s="93" t="s">
        <v>1159</v>
      </c>
      <c r="J406" s="80" t="s">
        <v>30</v>
      </c>
      <c r="K406" s="80" t="s">
        <v>51</v>
      </c>
      <c r="L406" s="68">
        <v>16</v>
      </c>
      <c r="M406" s="82">
        <f t="shared" si="57"/>
        <v>5000</v>
      </c>
      <c r="N406" s="82">
        <f t="shared" si="54"/>
        <v>80000</v>
      </c>
      <c r="O406" s="82">
        <f>M406*3</f>
        <v>15000</v>
      </c>
      <c r="P406" s="82">
        <f>M406*13*0.8</f>
        <v>52000</v>
      </c>
      <c r="Q406" s="82">
        <f t="shared" si="58"/>
        <v>742.85714285714289</v>
      </c>
      <c r="R406" s="82">
        <f t="shared" si="55"/>
        <v>2971.4285714285716</v>
      </c>
      <c r="S406" s="13"/>
      <c r="T406" s="13"/>
      <c r="U406" s="13"/>
      <c r="V406" s="40"/>
      <c r="W406" s="13"/>
    </row>
    <row r="407" spans="1:23" ht="18.75" customHeight="1" x14ac:dyDescent="0.35">
      <c r="A407" s="14">
        <v>418</v>
      </c>
      <c r="B407" s="80" t="s">
        <v>1059</v>
      </c>
      <c r="C407" s="80" t="s">
        <v>1076</v>
      </c>
      <c r="D407" s="80" t="s">
        <v>1071</v>
      </c>
      <c r="E407" s="80" t="s">
        <v>1069</v>
      </c>
      <c r="F407" s="80" t="s">
        <v>1077</v>
      </c>
      <c r="G407" s="80" t="s">
        <v>23</v>
      </c>
      <c r="H407" s="81">
        <v>2</v>
      </c>
      <c r="I407" s="93" t="s">
        <v>1158</v>
      </c>
      <c r="J407" s="80" t="s">
        <v>30</v>
      </c>
      <c r="K407" s="80" t="s">
        <v>35</v>
      </c>
      <c r="L407" s="68">
        <v>15</v>
      </c>
      <c r="M407" s="82">
        <f t="shared" si="57"/>
        <v>5000</v>
      </c>
      <c r="N407" s="82">
        <f t="shared" si="54"/>
        <v>75000</v>
      </c>
      <c r="O407" s="82">
        <f>M407*2</f>
        <v>10000</v>
      </c>
      <c r="P407" s="82">
        <f>M407*13*0.8</f>
        <v>52000</v>
      </c>
      <c r="Q407" s="82">
        <f t="shared" si="58"/>
        <v>742.85714285714289</v>
      </c>
      <c r="R407" s="82">
        <f t="shared" si="55"/>
        <v>2971.4285714285716</v>
      </c>
      <c r="S407" s="13"/>
      <c r="T407" s="13"/>
      <c r="U407" s="13"/>
      <c r="V407" s="40"/>
      <c r="W407" s="13"/>
    </row>
    <row r="408" spans="1:23" ht="18.75" customHeight="1" x14ac:dyDescent="0.35">
      <c r="A408" s="14">
        <v>419</v>
      </c>
      <c r="B408" s="80" t="s">
        <v>1059</v>
      </c>
      <c r="C408" s="80" t="s">
        <v>1078</v>
      </c>
      <c r="D408" s="80" t="s">
        <v>1079</v>
      </c>
      <c r="E408" s="80" t="s">
        <v>1080</v>
      </c>
      <c r="F408" s="80" t="s">
        <v>1067</v>
      </c>
      <c r="G408" s="80" t="s">
        <v>23</v>
      </c>
      <c r="H408" s="83">
        <v>0.8</v>
      </c>
      <c r="I408" s="93" t="s">
        <v>1157</v>
      </c>
      <c r="J408" s="80" t="s">
        <v>30</v>
      </c>
      <c r="K408" s="80" t="s">
        <v>35</v>
      </c>
      <c r="L408" s="68">
        <v>30</v>
      </c>
      <c r="M408" s="82">
        <f t="shared" si="57"/>
        <v>2000</v>
      </c>
      <c r="N408" s="82">
        <f t="shared" si="54"/>
        <v>60000</v>
      </c>
      <c r="O408" s="82">
        <f>M408*10</f>
        <v>20000</v>
      </c>
      <c r="P408" s="82">
        <f>M408*20*0.8</f>
        <v>32000</v>
      </c>
      <c r="Q408" s="82">
        <f t="shared" si="58"/>
        <v>457.14285714285717</v>
      </c>
      <c r="R408" s="82">
        <f t="shared" si="55"/>
        <v>1828.5714285714287</v>
      </c>
      <c r="S408" s="13"/>
      <c r="T408" s="13"/>
      <c r="U408" s="13"/>
      <c r="V408" s="40"/>
      <c r="W408" s="13"/>
    </row>
    <row r="409" spans="1:23" ht="18.75" customHeight="1" x14ac:dyDescent="0.35">
      <c r="A409" s="14">
        <v>420</v>
      </c>
      <c r="B409" s="80" t="s">
        <v>1059</v>
      </c>
      <c r="C409" s="80" t="s">
        <v>1081</v>
      </c>
      <c r="D409" s="80" t="s">
        <v>1082</v>
      </c>
      <c r="E409" s="80" t="s">
        <v>1083</v>
      </c>
      <c r="F409" s="80" t="s">
        <v>1063</v>
      </c>
      <c r="G409" s="80" t="s">
        <v>23</v>
      </c>
      <c r="H409" s="83">
        <v>4.5</v>
      </c>
      <c r="I409" s="93" t="s">
        <v>1156</v>
      </c>
      <c r="J409" s="80" t="s">
        <v>30</v>
      </c>
      <c r="K409" s="80" t="s">
        <v>51</v>
      </c>
      <c r="L409" s="68">
        <v>12</v>
      </c>
      <c r="M409" s="82">
        <f t="shared" si="57"/>
        <v>11250</v>
      </c>
      <c r="N409" s="82">
        <f t="shared" si="54"/>
        <v>135000</v>
      </c>
      <c r="O409" s="82">
        <f t="shared" ref="O409:O416" si="59">M409*2</f>
        <v>22500</v>
      </c>
      <c r="P409" s="82">
        <f>M409*10*0.8</f>
        <v>90000</v>
      </c>
      <c r="Q409" s="82">
        <f t="shared" si="58"/>
        <v>1285.7142857142858</v>
      </c>
      <c r="R409" s="82">
        <f t="shared" ref="R409:R422" si="60">Q409*4</f>
        <v>5142.8571428571431</v>
      </c>
      <c r="S409" s="13"/>
      <c r="T409" s="13"/>
      <c r="U409" s="13"/>
      <c r="V409" s="40"/>
      <c r="W409" s="13"/>
    </row>
    <row r="410" spans="1:23" ht="18.75" customHeight="1" x14ac:dyDescent="0.35">
      <c r="A410" s="14">
        <v>421</v>
      </c>
      <c r="B410" s="80" t="s">
        <v>1059</v>
      </c>
      <c r="C410" s="80" t="s">
        <v>1084</v>
      </c>
      <c r="D410" s="80" t="s">
        <v>1085</v>
      </c>
      <c r="E410" s="80" t="s">
        <v>1083</v>
      </c>
      <c r="F410" s="80" t="s">
        <v>1086</v>
      </c>
      <c r="G410" s="80" t="s">
        <v>23</v>
      </c>
      <c r="H410" s="83">
        <v>10.5</v>
      </c>
      <c r="I410" s="93" t="s">
        <v>1155</v>
      </c>
      <c r="J410" s="80" t="s">
        <v>30</v>
      </c>
      <c r="K410" s="80" t="s">
        <v>51</v>
      </c>
      <c r="L410" s="68">
        <v>10</v>
      </c>
      <c r="M410" s="82">
        <f t="shared" si="57"/>
        <v>26250</v>
      </c>
      <c r="N410" s="82">
        <f t="shared" si="54"/>
        <v>262500</v>
      </c>
      <c r="O410" s="82">
        <f t="shared" si="59"/>
        <v>52500</v>
      </c>
      <c r="P410" s="82">
        <f>M410*8*0.8</f>
        <v>168000</v>
      </c>
      <c r="Q410" s="82">
        <f t="shared" si="58"/>
        <v>2400</v>
      </c>
      <c r="R410" s="82">
        <f t="shared" si="60"/>
        <v>9600</v>
      </c>
      <c r="S410" s="13"/>
      <c r="T410" s="13"/>
      <c r="U410" s="13"/>
      <c r="V410" s="40"/>
      <c r="W410" s="13"/>
    </row>
    <row r="411" spans="1:23" ht="18.75" customHeight="1" x14ac:dyDescent="0.35">
      <c r="A411" s="14">
        <v>422</v>
      </c>
      <c r="B411" s="80" t="s">
        <v>1059</v>
      </c>
      <c r="C411" s="80" t="s">
        <v>1087</v>
      </c>
      <c r="D411" s="80" t="s">
        <v>1088</v>
      </c>
      <c r="E411" s="80" t="s">
        <v>1089</v>
      </c>
      <c r="F411" s="80" t="s">
        <v>1090</v>
      </c>
      <c r="G411" s="80" t="s">
        <v>23</v>
      </c>
      <c r="H411" s="81">
        <v>10</v>
      </c>
      <c r="I411" s="93" t="s">
        <v>1154</v>
      </c>
      <c r="J411" s="80" t="s">
        <v>24</v>
      </c>
      <c r="K411" s="80" t="s">
        <v>35</v>
      </c>
      <c r="L411" s="68">
        <v>12</v>
      </c>
      <c r="M411" s="82">
        <f t="shared" si="57"/>
        <v>25000</v>
      </c>
      <c r="N411" s="82">
        <f t="shared" si="54"/>
        <v>300000</v>
      </c>
      <c r="O411" s="82">
        <f t="shared" si="59"/>
        <v>50000</v>
      </c>
      <c r="P411" s="82">
        <f>M411*10*0.8</f>
        <v>200000</v>
      </c>
      <c r="Q411" s="82">
        <f t="shared" si="58"/>
        <v>2857.1428571428573</v>
      </c>
      <c r="R411" s="82">
        <f t="shared" si="60"/>
        <v>11428.571428571429</v>
      </c>
      <c r="S411" s="13"/>
      <c r="T411" s="13"/>
      <c r="U411" s="13"/>
      <c r="V411" s="40"/>
      <c r="W411" s="13"/>
    </row>
    <row r="412" spans="1:23" ht="18.75" customHeight="1" x14ac:dyDescent="0.35">
      <c r="A412" s="14">
        <v>423</v>
      </c>
      <c r="B412" s="80" t="s">
        <v>1059</v>
      </c>
      <c r="C412" s="80" t="s">
        <v>1091</v>
      </c>
      <c r="D412" s="80" t="s">
        <v>1088</v>
      </c>
      <c r="E412" s="80" t="s">
        <v>1092</v>
      </c>
      <c r="F412" s="80" t="s">
        <v>1067</v>
      </c>
      <c r="G412" s="80" t="s">
        <v>23</v>
      </c>
      <c r="H412" s="81">
        <v>5</v>
      </c>
      <c r="I412" s="93" t="s">
        <v>1153</v>
      </c>
      <c r="J412" s="80" t="s">
        <v>24</v>
      </c>
      <c r="K412" s="80" t="s">
        <v>35</v>
      </c>
      <c r="L412" s="68">
        <v>12</v>
      </c>
      <c r="M412" s="82">
        <f t="shared" si="57"/>
        <v>12500</v>
      </c>
      <c r="N412" s="82">
        <f t="shared" si="54"/>
        <v>150000</v>
      </c>
      <c r="O412" s="82">
        <f t="shared" si="59"/>
        <v>25000</v>
      </c>
      <c r="P412" s="82">
        <f>M412*10*0.8</f>
        <v>100000</v>
      </c>
      <c r="Q412" s="82">
        <f t="shared" si="58"/>
        <v>1428.5714285714287</v>
      </c>
      <c r="R412" s="82">
        <f t="shared" si="60"/>
        <v>5714.2857142857147</v>
      </c>
      <c r="S412" s="13"/>
      <c r="T412" s="13"/>
      <c r="U412" s="13"/>
      <c r="V412" s="40"/>
      <c r="W412" s="13"/>
    </row>
    <row r="413" spans="1:23" ht="18.75" customHeight="1" x14ac:dyDescent="0.35">
      <c r="A413" s="14">
        <v>424</v>
      </c>
      <c r="B413" s="80" t="s">
        <v>1059</v>
      </c>
      <c r="C413" s="80" t="s">
        <v>1093</v>
      </c>
      <c r="D413" s="80" t="s">
        <v>1085</v>
      </c>
      <c r="E413" s="80" t="s">
        <v>1089</v>
      </c>
      <c r="F413" s="80" t="s">
        <v>1067</v>
      </c>
      <c r="G413" s="80" t="s">
        <v>23</v>
      </c>
      <c r="H413" s="81">
        <v>15</v>
      </c>
      <c r="I413" s="93" t="s">
        <v>1152</v>
      </c>
      <c r="J413" s="80" t="s">
        <v>30</v>
      </c>
      <c r="K413" s="80" t="s">
        <v>35</v>
      </c>
      <c r="L413" s="68">
        <v>12</v>
      </c>
      <c r="M413" s="82">
        <f t="shared" si="57"/>
        <v>37500</v>
      </c>
      <c r="N413" s="82">
        <f t="shared" si="54"/>
        <v>450000</v>
      </c>
      <c r="O413" s="82">
        <f t="shared" si="59"/>
        <v>75000</v>
      </c>
      <c r="P413" s="82">
        <f>M413*10*0.8</f>
        <v>300000</v>
      </c>
      <c r="Q413" s="82">
        <f t="shared" si="58"/>
        <v>4285.7142857142853</v>
      </c>
      <c r="R413" s="82">
        <f t="shared" si="60"/>
        <v>17142.857142857141</v>
      </c>
      <c r="S413" s="13"/>
      <c r="T413" s="13"/>
      <c r="U413" s="13"/>
      <c r="V413" s="40"/>
      <c r="W413" s="13"/>
    </row>
    <row r="414" spans="1:23" ht="18.75" customHeight="1" x14ac:dyDescent="0.35">
      <c r="A414" s="14">
        <v>425</v>
      </c>
      <c r="B414" s="80" t="s">
        <v>1059</v>
      </c>
      <c r="C414" s="80" t="s">
        <v>1094</v>
      </c>
      <c r="D414" s="80" t="s">
        <v>1061</v>
      </c>
      <c r="E414" s="80" t="s">
        <v>1095</v>
      </c>
      <c r="F414" s="80" t="s">
        <v>1063</v>
      </c>
      <c r="G414" s="80" t="s">
        <v>23</v>
      </c>
      <c r="H414" s="83">
        <v>22.5</v>
      </c>
      <c r="I414" s="93" t="s">
        <v>1151</v>
      </c>
      <c r="J414" s="80" t="s">
        <v>30</v>
      </c>
      <c r="K414" s="80" t="s">
        <v>35</v>
      </c>
      <c r="L414" s="68">
        <v>10</v>
      </c>
      <c r="M414" s="82">
        <f t="shared" si="57"/>
        <v>56250</v>
      </c>
      <c r="N414" s="82">
        <f t="shared" si="54"/>
        <v>562500</v>
      </c>
      <c r="O414" s="82">
        <f t="shared" si="59"/>
        <v>112500</v>
      </c>
      <c r="P414" s="82">
        <f>M414*8*0.8</f>
        <v>360000</v>
      </c>
      <c r="Q414" s="82">
        <f t="shared" si="58"/>
        <v>5142.8571428571431</v>
      </c>
      <c r="R414" s="82">
        <f t="shared" si="60"/>
        <v>20571.428571428572</v>
      </c>
      <c r="S414" s="13"/>
      <c r="T414" s="13"/>
      <c r="U414" s="13"/>
      <c r="V414" s="40"/>
      <c r="W414" s="13"/>
    </row>
    <row r="415" spans="1:23" ht="18.75" customHeight="1" x14ac:dyDescent="0.35">
      <c r="A415" s="14">
        <v>426</v>
      </c>
      <c r="B415" s="80" t="s">
        <v>1059</v>
      </c>
      <c r="C415" s="80" t="s">
        <v>1096</v>
      </c>
      <c r="D415" s="80" t="s">
        <v>1088</v>
      </c>
      <c r="E415" s="80" t="s">
        <v>1069</v>
      </c>
      <c r="F415" s="80" t="s">
        <v>1063</v>
      </c>
      <c r="G415" s="80" t="s">
        <v>23</v>
      </c>
      <c r="H415" s="81">
        <v>11</v>
      </c>
      <c r="I415" s="93" t="s">
        <v>1150</v>
      </c>
      <c r="J415" s="80" t="s">
        <v>30</v>
      </c>
      <c r="K415" s="80" t="s">
        <v>51</v>
      </c>
      <c r="L415" s="68">
        <v>10</v>
      </c>
      <c r="M415" s="82">
        <f t="shared" si="57"/>
        <v>27500</v>
      </c>
      <c r="N415" s="82">
        <f t="shared" si="54"/>
        <v>275000</v>
      </c>
      <c r="O415" s="82">
        <f t="shared" si="59"/>
        <v>55000</v>
      </c>
      <c r="P415" s="82">
        <f>M415*8*0.8</f>
        <v>176000</v>
      </c>
      <c r="Q415" s="82">
        <f t="shared" si="58"/>
        <v>2514.2857142857142</v>
      </c>
      <c r="R415" s="82">
        <f t="shared" si="60"/>
        <v>10057.142857142857</v>
      </c>
      <c r="S415" s="13"/>
      <c r="T415" s="13"/>
      <c r="U415" s="13"/>
      <c r="V415" s="40"/>
      <c r="W415" s="13"/>
    </row>
    <row r="416" spans="1:23" ht="18.75" customHeight="1" x14ac:dyDescent="0.35">
      <c r="A416" s="14">
        <v>427</v>
      </c>
      <c r="B416" s="80" t="s">
        <v>1059</v>
      </c>
      <c r="C416" s="80" t="s">
        <v>1097</v>
      </c>
      <c r="D416" s="80" t="s">
        <v>1071</v>
      </c>
      <c r="E416" s="80" t="s">
        <v>1098</v>
      </c>
      <c r="F416" s="80" t="s">
        <v>1099</v>
      </c>
      <c r="G416" s="80" t="s">
        <v>23</v>
      </c>
      <c r="H416" s="83">
        <v>0.5</v>
      </c>
      <c r="I416" s="93" t="s">
        <v>1149</v>
      </c>
      <c r="J416" s="80" t="s">
        <v>30</v>
      </c>
      <c r="K416" s="80" t="s">
        <v>51</v>
      </c>
      <c r="L416" s="68">
        <v>8</v>
      </c>
      <c r="M416" s="82">
        <f t="shared" si="57"/>
        <v>1250</v>
      </c>
      <c r="N416" s="82">
        <f t="shared" si="54"/>
        <v>10000</v>
      </c>
      <c r="O416" s="82">
        <f t="shared" si="59"/>
        <v>2500</v>
      </c>
      <c r="P416" s="82">
        <f>M416*6*0.8</f>
        <v>6000</v>
      </c>
      <c r="Q416" s="82">
        <f t="shared" si="58"/>
        <v>85.714285714285708</v>
      </c>
      <c r="R416" s="82">
        <f t="shared" si="60"/>
        <v>342.85714285714283</v>
      </c>
      <c r="S416" s="13"/>
      <c r="T416" s="13"/>
      <c r="U416" s="13"/>
      <c r="V416" s="40"/>
      <c r="W416" s="13"/>
    </row>
    <row r="417" spans="1:23" ht="18.75" customHeight="1" x14ac:dyDescent="0.35">
      <c r="A417" s="14">
        <v>428</v>
      </c>
      <c r="B417" s="80" t="s">
        <v>1059</v>
      </c>
      <c r="C417" s="80" t="s">
        <v>1100</v>
      </c>
      <c r="D417" s="80" t="s">
        <v>1085</v>
      </c>
      <c r="E417" s="80" t="s">
        <v>1089</v>
      </c>
      <c r="F417" s="80" t="s">
        <v>1063</v>
      </c>
      <c r="G417" s="80" t="s">
        <v>23</v>
      </c>
      <c r="H417" s="83">
        <v>0.5</v>
      </c>
      <c r="I417" s="93" t="s">
        <v>1148</v>
      </c>
      <c r="J417" s="80" t="s">
        <v>24</v>
      </c>
      <c r="K417" s="80" t="s">
        <v>35</v>
      </c>
      <c r="L417" s="68">
        <v>16</v>
      </c>
      <c r="M417" s="82">
        <f t="shared" si="57"/>
        <v>1250</v>
      </c>
      <c r="N417" s="82">
        <f t="shared" si="54"/>
        <v>20000</v>
      </c>
      <c r="O417" s="82">
        <f>M417*3</f>
        <v>3750</v>
      </c>
      <c r="P417" s="82">
        <f>M417*13*0.8</f>
        <v>13000</v>
      </c>
      <c r="Q417" s="82">
        <f t="shared" si="58"/>
        <v>185.71428571428572</v>
      </c>
      <c r="R417" s="82">
        <f t="shared" si="60"/>
        <v>742.85714285714289</v>
      </c>
      <c r="S417" s="13"/>
      <c r="T417" s="13"/>
      <c r="U417" s="13"/>
      <c r="V417" s="40"/>
      <c r="W417" s="13"/>
    </row>
    <row r="418" spans="1:23" ht="18.75" customHeight="1" x14ac:dyDescent="0.35">
      <c r="A418" s="14">
        <v>429</v>
      </c>
      <c r="B418" s="80" t="s">
        <v>1059</v>
      </c>
      <c r="C418" s="80" t="s">
        <v>1101</v>
      </c>
      <c r="D418" s="80" t="s">
        <v>1085</v>
      </c>
      <c r="E418" s="80" t="s">
        <v>1102</v>
      </c>
      <c r="F418" s="80" t="s">
        <v>1073</v>
      </c>
      <c r="G418" s="80" t="s">
        <v>23</v>
      </c>
      <c r="H418" s="81">
        <v>5</v>
      </c>
      <c r="I418" s="93" t="s">
        <v>1147</v>
      </c>
      <c r="J418" s="80" t="s">
        <v>24</v>
      </c>
      <c r="K418" s="80" t="s">
        <v>35</v>
      </c>
      <c r="L418" s="68">
        <v>10</v>
      </c>
      <c r="M418" s="82">
        <f t="shared" si="57"/>
        <v>12500</v>
      </c>
      <c r="N418" s="82">
        <f t="shared" si="54"/>
        <v>125000</v>
      </c>
      <c r="O418" s="82">
        <f>M418*2</f>
        <v>25000</v>
      </c>
      <c r="P418" s="82">
        <f>M418*8*0.8</f>
        <v>80000</v>
      </c>
      <c r="Q418" s="82">
        <f t="shared" si="58"/>
        <v>1142.8571428571429</v>
      </c>
      <c r="R418" s="82">
        <f t="shared" si="60"/>
        <v>4571.4285714285716</v>
      </c>
      <c r="S418" s="13"/>
      <c r="T418" s="13"/>
      <c r="U418" s="13"/>
      <c r="V418" s="40"/>
      <c r="W418" s="13"/>
    </row>
    <row r="419" spans="1:23" ht="18.75" customHeight="1" x14ac:dyDescent="0.35">
      <c r="A419" s="14">
        <v>430</v>
      </c>
      <c r="B419" s="80" t="s">
        <v>1059</v>
      </c>
      <c r="C419" s="80" t="s">
        <v>1103</v>
      </c>
      <c r="D419" s="80" t="s">
        <v>1071</v>
      </c>
      <c r="E419" s="80" t="s">
        <v>1104</v>
      </c>
      <c r="F419" s="80" t="s">
        <v>691</v>
      </c>
      <c r="G419" s="80" t="s">
        <v>23</v>
      </c>
      <c r="H419" s="81">
        <v>7</v>
      </c>
      <c r="I419" s="93" t="s">
        <v>1146</v>
      </c>
      <c r="J419" s="80" t="s">
        <v>30</v>
      </c>
      <c r="K419" s="80" t="s">
        <v>51</v>
      </c>
      <c r="L419" s="68">
        <v>10</v>
      </c>
      <c r="M419" s="82">
        <f t="shared" si="57"/>
        <v>17500</v>
      </c>
      <c r="N419" s="82">
        <f t="shared" si="54"/>
        <v>175000</v>
      </c>
      <c r="O419" s="82">
        <f>M419*2</f>
        <v>35000</v>
      </c>
      <c r="P419" s="82">
        <f>M419*8*0.8</f>
        <v>112000</v>
      </c>
      <c r="Q419" s="82">
        <f t="shared" si="58"/>
        <v>1600</v>
      </c>
      <c r="R419" s="82">
        <f t="shared" si="60"/>
        <v>6400</v>
      </c>
      <c r="S419" s="13"/>
      <c r="T419" s="13"/>
      <c r="U419" s="13"/>
      <c r="V419" s="40"/>
      <c r="W419" s="13"/>
    </row>
    <row r="420" spans="1:23" ht="18.75" customHeight="1" x14ac:dyDescent="0.35">
      <c r="A420" s="14">
        <v>431</v>
      </c>
      <c r="B420" s="80" t="s">
        <v>1059</v>
      </c>
      <c r="C420" s="80" t="s">
        <v>1105</v>
      </c>
      <c r="D420" s="80" t="s">
        <v>1088</v>
      </c>
      <c r="E420" s="80" t="s">
        <v>1106</v>
      </c>
      <c r="F420" s="80" t="s">
        <v>1107</v>
      </c>
      <c r="G420" s="80" t="s">
        <v>23</v>
      </c>
      <c r="H420" s="81">
        <v>12</v>
      </c>
      <c r="I420" s="93" t="s">
        <v>1145</v>
      </c>
      <c r="J420" s="80" t="s">
        <v>30</v>
      </c>
      <c r="K420" s="80" t="s">
        <v>35</v>
      </c>
      <c r="L420" s="68">
        <v>12</v>
      </c>
      <c r="M420" s="82">
        <f t="shared" si="57"/>
        <v>30000</v>
      </c>
      <c r="N420" s="82">
        <f t="shared" si="54"/>
        <v>360000</v>
      </c>
      <c r="O420" s="82">
        <f>M420*2</f>
        <v>60000</v>
      </c>
      <c r="P420" s="82">
        <f>M420*10*0.8</f>
        <v>240000</v>
      </c>
      <c r="Q420" s="82">
        <f t="shared" si="58"/>
        <v>3428.5714285714284</v>
      </c>
      <c r="R420" s="82">
        <f t="shared" si="60"/>
        <v>13714.285714285714</v>
      </c>
      <c r="S420" s="13"/>
      <c r="T420" s="13"/>
      <c r="U420" s="13"/>
      <c r="V420" s="40"/>
      <c r="W420" s="13"/>
    </row>
    <row r="421" spans="1:23" ht="18.75" customHeight="1" x14ac:dyDescent="0.35">
      <c r="A421" s="14">
        <v>432</v>
      </c>
      <c r="B421" s="80" t="s">
        <v>1059</v>
      </c>
      <c r="C421" s="80" t="s">
        <v>1108</v>
      </c>
      <c r="D421" s="80" t="s">
        <v>1071</v>
      </c>
      <c r="E421" s="80" t="s">
        <v>1109</v>
      </c>
      <c r="F421" s="80" t="s">
        <v>1110</v>
      </c>
      <c r="G421" s="80" t="s">
        <v>23</v>
      </c>
      <c r="H421" s="81">
        <v>8</v>
      </c>
      <c r="I421" s="93" t="s">
        <v>1144</v>
      </c>
      <c r="J421" s="80" t="s">
        <v>24</v>
      </c>
      <c r="K421" s="80" t="s">
        <v>51</v>
      </c>
      <c r="L421" s="68">
        <v>10</v>
      </c>
      <c r="M421" s="82">
        <f t="shared" si="57"/>
        <v>20000</v>
      </c>
      <c r="N421" s="82">
        <f t="shared" si="54"/>
        <v>200000</v>
      </c>
      <c r="O421" s="82">
        <f>M421*2</f>
        <v>40000</v>
      </c>
      <c r="P421" s="82">
        <f>M421*8*0.8</f>
        <v>128000</v>
      </c>
      <c r="Q421" s="82">
        <f t="shared" si="58"/>
        <v>1828.5714285714287</v>
      </c>
      <c r="R421" s="82">
        <f t="shared" si="60"/>
        <v>7314.2857142857147</v>
      </c>
      <c r="S421" s="13"/>
      <c r="T421" s="13"/>
      <c r="U421" s="13"/>
      <c r="V421" s="40"/>
      <c r="W421" s="13"/>
    </row>
    <row r="422" spans="1:23" ht="18.75" customHeight="1" x14ac:dyDescent="0.35">
      <c r="A422" s="14">
        <v>433</v>
      </c>
      <c r="B422" s="80" t="s">
        <v>1059</v>
      </c>
      <c r="C422" s="80" t="s">
        <v>1111</v>
      </c>
      <c r="D422" s="80" t="s">
        <v>1112</v>
      </c>
      <c r="E422" s="80" t="s">
        <v>1083</v>
      </c>
      <c r="F422" s="80" t="s">
        <v>1113</v>
      </c>
      <c r="G422" s="80" t="s">
        <v>23</v>
      </c>
      <c r="H422" s="83">
        <v>12.5</v>
      </c>
      <c r="I422" s="93" t="s">
        <v>1143</v>
      </c>
      <c r="J422" s="80" t="s">
        <v>30</v>
      </c>
      <c r="K422" s="80" t="s">
        <v>51</v>
      </c>
      <c r="L422" s="68">
        <v>10</v>
      </c>
      <c r="M422" s="82">
        <f t="shared" si="57"/>
        <v>31250</v>
      </c>
      <c r="N422" s="82">
        <f t="shared" si="54"/>
        <v>312500</v>
      </c>
      <c r="O422" s="82">
        <f>M422*2</f>
        <v>62500</v>
      </c>
      <c r="P422" s="82">
        <f>M422*8*0.8</f>
        <v>200000</v>
      </c>
      <c r="Q422" s="82">
        <f t="shared" si="58"/>
        <v>2857.1428571428573</v>
      </c>
      <c r="R422" s="82">
        <f t="shared" si="60"/>
        <v>11428.571428571429</v>
      </c>
      <c r="S422" s="13"/>
      <c r="T422" s="13"/>
      <c r="U422" s="13"/>
      <c r="V422" s="40"/>
      <c r="W422" s="13"/>
    </row>
    <row r="423" spans="1:23" s="102" customFormat="1" ht="28" customHeight="1" x14ac:dyDescent="0.35">
      <c r="A423" s="94">
        <v>434</v>
      </c>
      <c r="B423" s="95" t="s">
        <v>1059</v>
      </c>
      <c r="C423" s="95" t="s">
        <v>1114</v>
      </c>
      <c r="D423" s="95" t="s">
        <v>1071</v>
      </c>
      <c r="E423" s="95" t="s">
        <v>1115</v>
      </c>
      <c r="F423" s="95" t="s">
        <v>737</v>
      </c>
      <c r="G423" s="95" t="s">
        <v>23</v>
      </c>
      <c r="H423" s="96">
        <v>4</v>
      </c>
      <c r="I423" s="97" t="s">
        <v>1116</v>
      </c>
      <c r="J423" s="95" t="s">
        <v>24</v>
      </c>
      <c r="K423" s="95" t="s">
        <v>35</v>
      </c>
      <c r="L423" s="98">
        <v>10</v>
      </c>
      <c r="M423" s="99">
        <v>6000</v>
      </c>
      <c r="N423" s="99">
        <v>72000</v>
      </c>
      <c r="O423" s="99">
        <v>24000</v>
      </c>
      <c r="P423" s="99">
        <v>48000</v>
      </c>
      <c r="Q423" s="99">
        <v>800</v>
      </c>
      <c r="R423" s="99">
        <v>3200</v>
      </c>
      <c r="S423" s="100"/>
      <c r="T423" s="100"/>
      <c r="U423" s="100"/>
      <c r="V423" s="101"/>
      <c r="W423" s="100"/>
    </row>
    <row r="424" spans="1:23" s="102" customFormat="1" ht="18.75" customHeight="1" x14ac:dyDescent="0.35">
      <c r="A424" s="94">
        <v>435</v>
      </c>
      <c r="B424" s="95" t="s">
        <v>1059</v>
      </c>
      <c r="C424" s="95" t="s">
        <v>1117</v>
      </c>
      <c r="D424" s="95" t="s">
        <v>697</v>
      </c>
      <c r="E424" s="95" t="s">
        <v>1118</v>
      </c>
      <c r="F424" s="95" t="s">
        <v>246</v>
      </c>
      <c r="G424" s="95" t="s">
        <v>187</v>
      </c>
      <c r="H424" s="103">
        <v>0.6</v>
      </c>
      <c r="I424" s="97" t="s">
        <v>1119</v>
      </c>
      <c r="J424" s="95" t="s">
        <v>24</v>
      </c>
      <c r="K424" s="95" t="s">
        <v>35</v>
      </c>
      <c r="L424" s="98">
        <v>3</v>
      </c>
      <c r="M424" s="99">
        <v>2200</v>
      </c>
      <c r="N424" s="99">
        <v>8800</v>
      </c>
      <c r="O424" s="99">
        <v>0</v>
      </c>
      <c r="P424" s="99">
        <v>0</v>
      </c>
      <c r="Q424" s="99">
        <v>0</v>
      </c>
      <c r="R424" s="99">
        <v>0</v>
      </c>
      <c r="S424" s="100"/>
      <c r="T424" s="100"/>
      <c r="U424" s="100"/>
      <c r="V424" s="101"/>
      <c r="W424" s="100"/>
    </row>
    <row r="425" spans="1:23" ht="18.75" customHeight="1" x14ac:dyDescent="0.35">
      <c r="A425" s="14">
        <v>436</v>
      </c>
      <c r="B425" s="20" t="s">
        <v>98</v>
      </c>
      <c r="C425" s="20" t="s">
        <v>1120</v>
      </c>
      <c r="D425" s="20" t="s">
        <v>1121</v>
      </c>
      <c r="E425" s="20" t="s">
        <v>1122</v>
      </c>
      <c r="F425" s="20" t="s">
        <v>1123</v>
      </c>
      <c r="G425" s="20" t="s">
        <v>29</v>
      </c>
      <c r="H425" s="27">
        <v>0.5</v>
      </c>
      <c r="I425" s="92" t="s">
        <v>1142</v>
      </c>
      <c r="J425" s="20" t="s">
        <v>24</v>
      </c>
      <c r="K425" s="20" t="s">
        <v>35</v>
      </c>
      <c r="L425" s="68">
        <v>13</v>
      </c>
      <c r="M425" s="21">
        <f t="shared" ref="M425:M432" si="61">H425*10000*0.25</f>
        <v>1250</v>
      </c>
      <c r="N425" s="21">
        <f t="shared" ref="N425:N432" si="62">M425*L425</f>
        <v>16250</v>
      </c>
      <c r="O425" s="21">
        <f>M425*L425</f>
        <v>16250</v>
      </c>
      <c r="P425" s="21">
        <v>0</v>
      </c>
      <c r="Q425" s="21">
        <v>0</v>
      </c>
      <c r="R425" s="21">
        <v>0</v>
      </c>
      <c r="S425" s="13"/>
      <c r="T425" s="13"/>
      <c r="U425" s="13"/>
      <c r="V425" s="40"/>
      <c r="W425" s="13"/>
    </row>
    <row r="426" spans="1:23" ht="18.75" customHeight="1" x14ac:dyDescent="0.35">
      <c r="A426" s="14">
        <v>437</v>
      </c>
      <c r="B426" s="20" t="s">
        <v>98</v>
      </c>
      <c r="C426" s="20" t="s">
        <v>1124</v>
      </c>
      <c r="D426" s="20" t="s">
        <v>1125</v>
      </c>
      <c r="E426" s="20" t="s">
        <v>138</v>
      </c>
      <c r="F426" s="20" t="s">
        <v>1126</v>
      </c>
      <c r="G426" s="20" t="s">
        <v>23</v>
      </c>
      <c r="H426" s="27">
        <v>0.48</v>
      </c>
      <c r="I426" s="92" t="s">
        <v>1141</v>
      </c>
      <c r="J426" s="20" t="s">
        <v>24</v>
      </c>
      <c r="K426" s="20" t="s">
        <v>35</v>
      </c>
      <c r="L426" s="68">
        <v>12</v>
      </c>
      <c r="M426" s="21">
        <f t="shared" si="61"/>
        <v>1200</v>
      </c>
      <c r="N426" s="21">
        <f t="shared" si="62"/>
        <v>14400</v>
      </c>
      <c r="O426" s="21">
        <f>M426*3</f>
        <v>3600</v>
      </c>
      <c r="P426" s="21">
        <f>M426*9*0.8</f>
        <v>8640</v>
      </c>
      <c r="Q426" s="21">
        <f>P426/70</f>
        <v>123.42857142857143</v>
      </c>
      <c r="R426" s="21">
        <f>Q426*4</f>
        <v>493.71428571428572</v>
      </c>
      <c r="S426" s="13"/>
      <c r="T426" s="13"/>
      <c r="U426" s="13"/>
      <c r="V426" s="40"/>
      <c r="W426" s="13"/>
    </row>
    <row r="427" spans="1:23" ht="18.75" customHeight="1" x14ac:dyDescent="0.35">
      <c r="A427" s="14">
        <v>438</v>
      </c>
      <c r="B427" s="20" t="s">
        <v>98</v>
      </c>
      <c r="C427" s="20" t="s">
        <v>1127</v>
      </c>
      <c r="D427" s="20" t="s">
        <v>604</v>
      </c>
      <c r="E427" s="20" t="s">
        <v>108</v>
      </c>
      <c r="F427" s="20" t="s">
        <v>1128</v>
      </c>
      <c r="G427" s="20" t="s">
        <v>84</v>
      </c>
      <c r="H427" s="27">
        <v>0.05</v>
      </c>
      <c r="I427" s="92" t="s">
        <v>1140</v>
      </c>
      <c r="J427" s="20" t="s">
        <v>24</v>
      </c>
      <c r="K427" s="20" t="s">
        <v>35</v>
      </c>
      <c r="L427" s="68">
        <v>5</v>
      </c>
      <c r="M427" s="21">
        <f t="shared" si="61"/>
        <v>125</v>
      </c>
      <c r="N427" s="21">
        <f t="shared" si="62"/>
        <v>625</v>
      </c>
      <c r="O427" s="21">
        <f t="shared" ref="O427:O432" si="63">M427*L427</f>
        <v>625</v>
      </c>
      <c r="P427" s="21">
        <v>0</v>
      </c>
      <c r="Q427" s="21">
        <v>0</v>
      </c>
      <c r="R427" s="21">
        <v>0</v>
      </c>
      <c r="S427" s="13"/>
      <c r="T427" s="13"/>
      <c r="U427" s="13"/>
      <c r="V427" s="40"/>
      <c r="W427" s="13"/>
    </row>
    <row r="428" spans="1:23" ht="18.75" customHeight="1" x14ac:dyDescent="0.35">
      <c r="A428" s="14">
        <v>439</v>
      </c>
      <c r="B428" s="20" t="s">
        <v>98</v>
      </c>
      <c r="C428" s="20" t="s">
        <v>1129</v>
      </c>
      <c r="D428" s="20" t="s">
        <v>184</v>
      </c>
      <c r="E428" s="20" t="s">
        <v>108</v>
      </c>
      <c r="F428" s="20" t="s">
        <v>1128</v>
      </c>
      <c r="G428" s="20" t="s">
        <v>84</v>
      </c>
      <c r="H428" s="27">
        <v>0.05</v>
      </c>
      <c r="I428" s="92" t="s">
        <v>1139</v>
      </c>
      <c r="J428" s="20" t="s">
        <v>24</v>
      </c>
      <c r="K428" s="20" t="s">
        <v>35</v>
      </c>
      <c r="L428" s="68">
        <v>5</v>
      </c>
      <c r="M428" s="21">
        <f t="shared" si="61"/>
        <v>125</v>
      </c>
      <c r="N428" s="21">
        <f t="shared" si="62"/>
        <v>625</v>
      </c>
      <c r="O428" s="21">
        <f t="shared" si="63"/>
        <v>625</v>
      </c>
      <c r="P428" s="21">
        <v>0</v>
      </c>
      <c r="Q428" s="21">
        <v>0</v>
      </c>
      <c r="R428" s="21">
        <v>0</v>
      </c>
      <c r="S428" s="13"/>
      <c r="T428" s="13"/>
      <c r="U428" s="13"/>
      <c r="V428" s="40"/>
      <c r="W428" s="13"/>
    </row>
    <row r="429" spans="1:23" ht="18.75" customHeight="1" x14ac:dyDescent="0.35">
      <c r="A429" s="14">
        <v>440</v>
      </c>
      <c r="B429" s="20" t="s">
        <v>98</v>
      </c>
      <c r="C429" s="20" t="s">
        <v>1130</v>
      </c>
      <c r="D429" s="20" t="s">
        <v>588</v>
      </c>
      <c r="E429" s="20" t="s">
        <v>108</v>
      </c>
      <c r="F429" s="20" t="s">
        <v>1128</v>
      </c>
      <c r="G429" s="20" t="s">
        <v>84</v>
      </c>
      <c r="H429" s="27">
        <v>0.05</v>
      </c>
      <c r="I429" s="92" t="s">
        <v>1138</v>
      </c>
      <c r="J429" s="20" t="s">
        <v>24</v>
      </c>
      <c r="K429" s="20" t="s">
        <v>35</v>
      </c>
      <c r="L429" s="68">
        <v>5</v>
      </c>
      <c r="M429" s="21">
        <f t="shared" si="61"/>
        <v>125</v>
      </c>
      <c r="N429" s="21">
        <f t="shared" si="62"/>
        <v>625</v>
      </c>
      <c r="O429" s="21">
        <f t="shared" si="63"/>
        <v>625</v>
      </c>
      <c r="P429" s="21">
        <v>0</v>
      </c>
      <c r="Q429" s="21">
        <v>0</v>
      </c>
      <c r="R429" s="21">
        <v>0</v>
      </c>
      <c r="S429" s="13"/>
      <c r="T429" s="13"/>
      <c r="U429" s="13"/>
      <c r="V429" s="40"/>
      <c r="W429" s="13"/>
    </row>
    <row r="430" spans="1:23" ht="29" customHeight="1" x14ac:dyDescent="0.35">
      <c r="A430" s="14">
        <v>441</v>
      </c>
      <c r="B430" s="20" t="s">
        <v>98</v>
      </c>
      <c r="C430" s="20" t="s">
        <v>1131</v>
      </c>
      <c r="D430" s="20" t="s">
        <v>184</v>
      </c>
      <c r="E430" s="20" t="s">
        <v>108</v>
      </c>
      <c r="F430" s="20" t="s">
        <v>1128</v>
      </c>
      <c r="G430" s="20" t="s">
        <v>84</v>
      </c>
      <c r="H430" s="27">
        <v>0.05</v>
      </c>
      <c r="I430" s="92" t="s">
        <v>1137</v>
      </c>
      <c r="J430" s="20" t="s">
        <v>24</v>
      </c>
      <c r="K430" s="20" t="s">
        <v>35</v>
      </c>
      <c r="L430" s="68">
        <v>5</v>
      </c>
      <c r="M430" s="21">
        <f t="shared" si="61"/>
        <v>125</v>
      </c>
      <c r="N430" s="21">
        <f t="shared" si="62"/>
        <v>625</v>
      </c>
      <c r="O430" s="21">
        <f t="shared" si="63"/>
        <v>625</v>
      </c>
      <c r="P430" s="21">
        <v>0</v>
      </c>
      <c r="Q430" s="21">
        <v>0</v>
      </c>
      <c r="R430" s="21">
        <v>0</v>
      </c>
      <c r="S430" s="13"/>
      <c r="T430" s="13"/>
      <c r="U430" s="13"/>
      <c r="V430" s="40"/>
      <c r="W430" s="13"/>
    </row>
    <row r="431" spans="1:23" ht="42" customHeight="1" x14ac:dyDescent="0.35">
      <c r="A431" s="14">
        <v>442</v>
      </c>
      <c r="B431" s="20" t="s">
        <v>98</v>
      </c>
      <c r="C431" s="20" t="s">
        <v>1132</v>
      </c>
      <c r="D431" s="20" t="s">
        <v>184</v>
      </c>
      <c r="E431" s="20" t="s">
        <v>108</v>
      </c>
      <c r="F431" s="20" t="s">
        <v>1128</v>
      </c>
      <c r="G431" s="20" t="s">
        <v>84</v>
      </c>
      <c r="H431" s="27">
        <v>0.05</v>
      </c>
      <c r="I431" s="92" t="s">
        <v>1136</v>
      </c>
      <c r="J431" s="20" t="s">
        <v>24</v>
      </c>
      <c r="K431" s="20" t="s">
        <v>35</v>
      </c>
      <c r="L431" s="68">
        <v>5</v>
      </c>
      <c r="M431" s="21">
        <f t="shared" si="61"/>
        <v>125</v>
      </c>
      <c r="N431" s="21">
        <f t="shared" si="62"/>
        <v>625</v>
      </c>
      <c r="O431" s="21">
        <f t="shared" si="63"/>
        <v>625</v>
      </c>
      <c r="P431" s="21">
        <v>0</v>
      </c>
      <c r="Q431" s="21">
        <v>0</v>
      </c>
      <c r="R431" s="21">
        <v>0</v>
      </c>
      <c r="S431" s="13"/>
      <c r="T431" s="13"/>
      <c r="U431" s="13"/>
      <c r="V431" s="40"/>
      <c r="W431" s="13"/>
    </row>
    <row r="432" spans="1:23" ht="18.75" customHeight="1" x14ac:dyDescent="0.35">
      <c r="A432" s="14">
        <v>443</v>
      </c>
      <c r="B432" s="20" t="s">
        <v>98</v>
      </c>
      <c r="C432" s="20" t="s">
        <v>172</v>
      </c>
      <c r="D432" s="20" t="s">
        <v>184</v>
      </c>
      <c r="E432" s="20" t="s">
        <v>1133</v>
      </c>
      <c r="F432" s="20" t="s">
        <v>1134</v>
      </c>
      <c r="G432" s="20" t="s">
        <v>113</v>
      </c>
      <c r="H432" s="27">
        <v>0.05</v>
      </c>
      <c r="I432" s="92" t="s">
        <v>1135</v>
      </c>
      <c r="J432" s="20" t="s">
        <v>24</v>
      </c>
      <c r="K432" s="20" t="s">
        <v>35</v>
      </c>
      <c r="L432" s="68">
        <v>7</v>
      </c>
      <c r="M432" s="21">
        <f t="shared" si="61"/>
        <v>125</v>
      </c>
      <c r="N432" s="21">
        <f t="shared" si="62"/>
        <v>875</v>
      </c>
      <c r="O432" s="21">
        <f t="shared" si="63"/>
        <v>875</v>
      </c>
      <c r="P432" s="21">
        <v>0</v>
      </c>
      <c r="Q432" s="21">
        <v>0</v>
      </c>
      <c r="R432" s="21">
        <v>0</v>
      </c>
      <c r="S432" s="13"/>
      <c r="T432" s="13"/>
      <c r="U432" s="13"/>
      <c r="V432" s="40"/>
      <c r="W432" s="13"/>
    </row>
  </sheetData>
  <hyperlinks>
    <hyperlink ref="I432" r:id="rId1" xr:uid="{13D83189-1B74-4480-ADF0-5E76EC4295C3}"/>
    <hyperlink ref="I431" r:id="rId2" xr:uid="{EAC28E0E-899B-4C70-A14A-3855837FEAEF}"/>
    <hyperlink ref="I430" r:id="rId3" xr:uid="{AF56A826-A952-4823-A77F-80D385F5A4EE}"/>
    <hyperlink ref="I429" r:id="rId4" xr:uid="{7CEA4111-E612-44CD-A1E8-14F5B8F3A477}"/>
    <hyperlink ref="I421" r:id="rId5" xr:uid="{B3EEC01E-E720-4BE9-998C-10A98C51D2C3}"/>
    <hyperlink ref="I428" r:id="rId6" xr:uid="{8EA51999-36B5-4086-99B7-DEDBD4F5F099}"/>
    <hyperlink ref="I427" r:id="rId7" xr:uid="{C6049A95-FE05-4032-8AA4-4791F8EC1BCA}"/>
    <hyperlink ref="I426" r:id="rId8" xr:uid="{7AA421DF-5686-46B0-84F8-A71893A5F74D}"/>
    <hyperlink ref="I425" r:id="rId9" xr:uid="{32F5F7F4-75ED-4BD5-9E67-F38DE26E1A43}"/>
    <hyperlink ref="I424" r:id="rId10" xr:uid="{1A905B2A-72EA-4B72-AF5C-F4D9A6BD7507}"/>
    <hyperlink ref="I423" r:id="rId11" xr:uid="{5C75EDCF-55C0-4EC9-AB74-AEA96350E833}"/>
    <hyperlink ref="I422" r:id="rId12" xr:uid="{56FD3B8C-9B12-422C-A7C8-55C474DA4C6D}"/>
    <hyperlink ref="I420" r:id="rId13" xr:uid="{1234AB6C-BD18-4568-97EB-C67A2723DF86}"/>
    <hyperlink ref="I419" r:id="rId14" xr:uid="{556058F5-9550-464E-B392-58DC9663E7AC}"/>
    <hyperlink ref="I418" r:id="rId15" xr:uid="{C1D63D71-F8E0-44BA-BCD8-32FAC9507CB4}"/>
    <hyperlink ref="I417" r:id="rId16" xr:uid="{C6844D87-3F65-4D8E-9425-6F30C9330B00}"/>
    <hyperlink ref="I416" r:id="rId17" xr:uid="{37BE7ACB-718E-4B0F-A702-F09C3D34D45F}"/>
    <hyperlink ref="I415" r:id="rId18" xr:uid="{56AD859C-F725-4E69-A660-DDC23B5E6EF2}"/>
    <hyperlink ref="I414" r:id="rId19" xr:uid="{04FF7748-1FF1-4C12-B148-21F791D86BAB}"/>
    <hyperlink ref="I413" r:id="rId20" xr:uid="{3875013A-044C-4F12-8F30-7B230CFBD330}"/>
    <hyperlink ref="I412" r:id="rId21" xr:uid="{DE99CF65-646A-425A-8441-10520416A215}"/>
    <hyperlink ref="I411" r:id="rId22" xr:uid="{7D420AF1-2C5B-44E8-B0ED-3D18A24B8415}"/>
    <hyperlink ref="I410" r:id="rId23" xr:uid="{5A556DC6-9339-4E59-B14B-62B42694A7D5}"/>
    <hyperlink ref="I409" r:id="rId24" xr:uid="{FA707D4E-247E-4D89-BD9E-072E66D13889}"/>
    <hyperlink ref="I408" r:id="rId25" xr:uid="{0F422658-236D-431E-82CF-DF506797883D}"/>
    <hyperlink ref="I407" r:id="rId26" xr:uid="{642446EA-DF68-41AC-9CEA-53D2E6D4DB6A}"/>
    <hyperlink ref="I406" r:id="rId27" xr:uid="{105D95AF-DAC1-4DBE-9696-57A0AB64701D}"/>
    <hyperlink ref="I405" r:id="rId28" xr:uid="{4E630745-F2F6-407D-A786-6EBC281BCAD1}"/>
    <hyperlink ref="I404" r:id="rId29" xr:uid="{556E8D8A-78E7-49E4-AAD8-31B44AF5B18F}"/>
    <hyperlink ref="I403" r:id="rId30" xr:uid="{D2EBD521-6C69-4F9A-B5F8-3BD777BF8A1C}"/>
    <hyperlink ref="I402" r:id="rId31" xr:uid="{9EDE1720-CC7E-464F-9088-8307C841BBFF}"/>
    <hyperlink ref="I401" r:id="rId32" xr:uid="{52418348-601E-4A8A-AE8A-9252993796D6}"/>
    <hyperlink ref="I400" r:id="rId33" xr:uid="{73E1E085-6E3A-411E-89AE-B5E0939C6710}"/>
    <hyperlink ref="I399" r:id="rId34" xr:uid="{61F96F26-5621-4152-A725-4839A230E913}"/>
    <hyperlink ref="I398" r:id="rId35" xr:uid="{2D4ED7B4-4366-43B2-A89C-5095FAD69629}"/>
    <hyperlink ref="I397" r:id="rId36" xr:uid="{B0FA079A-0EB4-49CE-B05C-2BFD86B43BF3}"/>
    <hyperlink ref="I396" r:id="rId37" xr:uid="{2E36040E-AA1F-4DAA-BD87-E7CA385EDB81}"/>
    <hyperlink ref="I395" r:id="rId38" xr:uid="{F17FD611-653E-495D-A106-AD21E0E5F284}"/>
    <hyperlink ref="I394" r:id="rId39" xr:uid="{F404F5D7-276C-41B2-BE77-EBD0402E5D7D}"/>
    <hyperlink ref="I393" r:id="rId40" xr:uid="{C0846647-D968-4C8E-B73D-5C4887A8C8BC}"/>
    <hyperlink ref="I392" r:id="rId41" xr:uid="{DF0F8B37-0DDD-4CB4-8625-7DF5EDE22052}"/>
    <hyperlink ref="I391" r:id="rId42" xr:uid="{A7EF6D24-9240-4417-92C4-9FD022D9A7E8}"/>
    <hyperlink ref="I390" r:id="rId43" xr:uid="{0C4D9A34-62EB-4D13-9E18-FFA1593EAFC0}"/>
    <hyperlink ref="I389" r:id="rId44" xr:uid="{BCB845F4-40AE-479D-8F36-2904828E01C4}"/>
    <hyperlink ref="I388" r:id="rId45" xr:uid="{0C548FB0-A035-45BD-A8D1-307E6132699B}"/>
    <hyperlink ref="I387" r:id="rId46" xr:uid="{05FFA96E-0666-44DA-BCAF-623B1B114999}"/>
    <hyperlink ref="I386" r:id="rId47" xr:uid="{5C708686-1011-4572-9C74-60753489F25E}"/>
    <hyperlink ref="I385" r:id="rId48" xr:uid="{B135C465-01C8-4C44-BD5F-CECF2D786096}"/>
    <hyperlink ref="I384" r:id="rId49" xr:uid="{359C8229-841A-4DE2-9450-BA09D4EEA4F2}"/>
    <hyperlink ref="I383" r:id="rId50" xr:uid="{32FB42A7-0604-4236-ACD5-44C98D4EFCE7}"/>
    <hyperlink ref="I382" r:id="rId51" xr:uid="{9380086D-B1EC-47B8-8FA9-386E2DC8D9B4}"/>
    <hyperlink ref="I381" r:id="rId52" xr:uid="{6BCDF8D9-411A-4070-970A-791557151289}"/>
    <hyperlink ref="I380" r:id="rId53" xr:uid="{39B5DB34-71FF-4686-BC94-317B6C1600DC}"/>
    <hyperlink ref="I379" r:id="rId54" xr:uid="{707FD958-FF92-4888-B1FC-39C818229779}"/>
    <hyperlink ref="I378" r:id="rId55" xr:uid="{E1CB924F-67DE-4C29-9CC7-FCB690CB89BD}"/>
    <hyperlink ref="I377" r:id="rId56" xr:uid="{BDE50833-539C-44A7-97A4-93C7B3E22035}"/>
    <hyperlink ref="I376" r:id="rId57" xr:uid="{CBCFFDD0-DF2B-4AC2-AD0F-89EE59031A3C}"/>
    <hyperlink ref="I375" r:id="rId58" xr:uid="{792B9F4D-DD57-4FA6-BB7C-34B01388D20B}"/>
    <hyperlink ref="I374" r:id="rId59" xr:uid="{AEB9E958-8232-4A43-8428-05BE59A9F23D}"/>
    <hyperlink ref="I373" r:id="rId60" xr:uid="{14D67B9C-028E-4247-8166-B8723A64990E}"/>
    <hyperlink ref="I372" r:id="rId61" display="https://www.google.com/maps/place/Zdaniye+Byvshego+Kafe+%22Moskva%22,+Lutfi+Street,+100131,+Tashkent,+Uzbekistan/@41.2782853,69.1776272,114m/data=!3m1!1e3!4m6!3m5!1s0x38ae899a809c1ff9:0xb28823a92cfe43fb!8m2!3d41.2782931!4d69.1775372!16s%2Fg%2F12hnnvnch?entry=tts&amp;g_ep=EgoyMDI1MDIwMi4wIPu8ASoASAFQAw%3D%3D" xr:uid="{AEE0D346-3021-477C-857C-260BDA34FBD7}"/>
    <hyperlink ref="I371" r:id="rId62" xr:uid="{83AA1157-03C2-48C1-805B-A1BB36471231}"/>
    <hyperlink ref="I370" r:id="rId63" display="https://www.google.com/maps/place/Kabul+Tekstil',+Katta+Khirmontepa+Street,+Tashkent,+Uzbekistan/@41.2722723,69.1773665,272m/data=!3m1!1e3!4m6!3m5!1s0x38ae899234dcf5df:0x5f964c4d8627ea89!8m2!3d41.2722784!4d69.1775721!16s%2Fg%2F11mgq8fk13?entry=tts&amp;g_ep=EgoyMDI1MDIwMi4wIPu8ASoASAFQAw%3D%3D" xr:uid="{EA3DB6A4-DDA7-4C5D-A9B1-9063C9CE72E3}"/>
    <hyperlink ref="I369" r:id="rId64" xr:uid="{F5C5A508-6A21-426A-8609-7B12BBB388BB}"/>
    <hyperlink ref="I368" r:id="rId65" xr:uid="{445203B3-5246-4097-BD18-411EDBE0FAC4}"/>
    <hyperlink ref="I367" r:id="rId66" xr:uid="{D9545C63-F07D-46BB-9C57-6166049EEC56}"/>
    <hyperlink ref="I366" r:id="rId67" xr:uid="{55868E7D-F77F-4CB5-ACB4-0205D728617C}"/>
    <hyperlink ref="I364" r:id="rId68" xr:uid="{1AE31A81-E16C-4477-9E7F-836F57ABC9CB}"/>
    <hyperlink ref="I363" r:id="rId69" xr:uid="{45868859-8642-4F72-8334-DE539BA6D58B}"/>
    <hyperlink ref="I358" r:id="rId70" xr:uid="{7226872C-CEA9-4A5D-8EBA-8E481A3C0B24}"/>
    <hyperlink ref="I357" r:id="rId71" xr:uid="{C09369DF-015C-4A79-953B-43EC1B648080}"/>
    <hyperlink ref="I356" r:id="rId72" xr:uid="{A4F7DE13-B67F-4D24-B32F-7347D0B61518}"/>
    <hyperlink ref="I355" r:id="rId73" xr:uid="{0E461786-5520-46B4-B8A2-BDC4344B0BED}"/>
    <hyperlink ref="I354" r:id="rId74" xr:uid="{EC7BD424-1AAB-4C05-ACE4-4E106DA3CBD6}"/>
    <hyperlink ref="I353" r:id="rId75" xr:uid="{9A2DE9FD-B1BC-41F9-A226-E1A73E339315}"/>
    <hyperlink ref="I352" r:id="rId76" xr:uid="{8154F8E7-3191-45E1-ACD5-F8AE7E52A8ED}"/>
    <hyperlink ref="I347" r:id="rId77" xr:uid="{CF5F5483-A253-4FC0-8470-87AE9E5E465C}"/>
    <hyperlink ref="I344" r:id="rId78" xr:uid="{755F0D10-CAAF-434A-9B36-40EE333B6953}"/>
    <hyperlink ref="I343" r:id="rId79" xr:uid="{E4D2226C-DD81-4555-AB65-1A5FF9934BD6}"/>
    <hyperlink ref="I341" r:id="rId80" xr:uid="{2EE20305-103A-4576-9F9D-A48EF7DFCCB4}"/>
    <hyperlink ref="I332" r:id="rId81" xr:uid="{EAB55A8F-5C64-4DA2-9A07-8870EEB04672}"/>
    <hyperlink ref="I331" r:id="rId82" xr:uid="{1B9FAE1F-FC9B-485C-A445-CECD5F087983}"/>
    <hyperlink ref="I330" r:id="rId83" xr:uid="{FD877E1B-DEF8-4247-B2CD-AFC368923BD3}"/>
    <hyperlink ref="I329" r:id="rId84" xr:uid="{3D45B24B-476E-4F91-B82C-C526E5C34FCB}"/>
    <hyperlink ref="I328" r:id="rId85" xr:uid="{454B2621-B36E-4788-B4B9-1057FB8A0DEF}"/>
    <hyperlink ref="I327" r:id="rId86" xr:uid="{62190C88-A2AB-4E28-A81B-A4C09783EB28}"/>
    <hyperlink ref="I326" r:id="rId87" xr:uid="{5037035E-9F72-4744-918C-899117128C53}"/>
    <hyperlink ref="I325" r:id="rId88" xr:uid="{31DEDB45-63E1-4719-9FC7-9DEB99678B1C}"/>
    <hyperlink ref="I324" r:id="rId89" xr:uid="{F45E54A5-00F2-4316-8D08-DFB6322053D4}"/>
    <hyperlink ref="I323" r:id="rId90" xr:uid="{999FABCF-574F-4A9E-80D0-C1B847832D17}"/>
    <hyperlink ref="I322" r:id="rId91" xr:uid="{0ACC6EDA-0C85-49B5-8396-D2FE90AB122A}"/>
    <hyperlink ref="I320" r:id="rId92" xr:uid="{935A2811-C57E-432A-AC90-A4A4C2C7448B}"/>
    <hyperlink ref="I319" r:id="rId93" xr:uid="{AD64CE4A-95B4-470E-8961-126AB4F98B58}"/>
    <hyperlink ref="I318" r:id="rId94" xr:uid="{6F0EA559-94CE-48E8-ABDA-8C735DDAD092}"/>
    <hyperlink ref="I317" r:id="rId95" xr:uid="{BC2B16A4-8F2B-4DDE-8912-6E1E195D546E}"/>
    <hyperlink ref="I316" r:id="rId96" xr:uid="{3314527B-B02E-4CCF-BC34-764BC9FE7A1D}"/>
    <hyperlink ref="I315" r:id="rId97" xr:uid="{37FD33C9-3D42-4616-BD2F-4BA11B75A018}"/>
    <hyperlink ref="I314" r:id="rId98" xr:uid="{11EC4EFA-F1A0-453C-A256-87D4AF565E84}"/>
    <hyperlink ref="I313" r:id="rId99" xr:uid="{A7AFFE99-A3D7-4360-B543-4BD55DF91F3B}"/>
    <hyperlink ref="I312" r:id="rId100" xr:uid="{4892780E-B593-4E1B-A999-F470D5C39683}"/>
    <hyperlink ref="I311" r:id="rId101" xr:uid="{DFE0022A-B3D2-4C7D-993B-24349080F8DF}"/>
    <hyperlink ref="I310" r:id="rId102" xr:uid="{BDDFAD6D-5B6F-4500-8952-400E00A3F646}"/>
    <hyperlink ref="I309" r:id="rId103" xr:uid="{A11D3E8F-7E63-493D-AAF7-9B11EAB34A87}"/>
    <hyperlink ref="I308" r:id="rId104" xr:uid="{89A88281-75B9-4F33-9D3F-1EB5AD647E16}"/>
    <hyperlink ref="I307" r:id="rId105" xr:uid="{D6647EA1-427F-4F7A-AF86-A2834AAE632A}"/>
    <hyperlink ref="I306" r:id="rId106" xr:uid="{F4E37348-2B08-4952-8F7B-13EB03EBB708}"/>
    <hyperlink ref="I305" r:id="rId107" xr:uid="{04CD750A-CE43-432A-96A1-87D1A628C232}"/>
    <hyperlink ref="I304" r:id="rId108" xr:uid="{509B4E9F-3C5D-486D-BFF5-6240EE928855}"/>
    <hyperlink ref="I303" r:id="rId109" xr:uid="{36114834-6E5B-45AC-BE2A-EF1B72DA94EF}"/>
    <hyperlink ref="I302" r:id="rId110" xr:uid="{AD06B660-C927-486E-BA04-09B9880492FB}"/>
    <hyperlink ref="I301" r:id="rId111" xr:uid="{123BA1F1-86C1-4FC8-BEC7-F8098B03451E}"/>
    <hyperlink ref="I300" r:id="rId112" xr:uid="{50DB5F07-1AA8-48C6-AABD-0D48B8EA8906}"/>
    <hyperlink ref="I299" r:id="rId113" xr:uid="{EEDF2AA7-868F-44F0-BA1B-2ACE5E2C0F50}"/>
    <hyperlink ref="I298" r:id="rId114" xr:uid="{603DDFEE-83F8-4E30-8204-60F3C8B2F1D0}"/>
    <hyperlink ref="I297" r:id="rId115" xr:uid="{D3577271-E33F-4F85-A774-BA726FC2441D}"/>
    <hyperlink ref="I296" r:id="rId116" xr:uid="{63A5F7A6-120D-466D-A1C0-4EB2A88027FB}"/>
    <hyperlink ref="I295" r:id="rId117" xr:uid="{BAE3B17D-40A4-4FFB-8355-EDB9069E7F38}"/>
    <hyperlink ref="I294" r:id="rId118" xr:uid="{53418D61-E16A-4475-A8D4-4DC6FBDE66E7}"/>
    <hyperlink ref="I293" r:id="rId119" xr:uid="{2EBBB497-2D1E-48E4-96AD-FC5798CB12D1}"/>
    <hyperlink ref="I292" r:id="rId120" xr:uid="{5705C575-36A8-4ABE-8EE8-748DAB680ABB}"/>
    <hyperlink ref="I291" r:id="rId121" xr:uid="{2849C2B0-7037-4A06-9260-A2B77E540913}"/>
    <hyperlink ref="I290" r:id="rId122" xr:uid="{5ADEA395-47AF-4B1C-B50D-ABC4D105DC88}"/>
    <hyperlink ref="I289" r:id="rId123" xr:uid="{97AC7208-07EF-49A2-BA9E-D3F6F29C2830}"/>
    <hyperlink ref="I288" r:id="rId124" xr:uid="{6C32F60F-22D7-4B8F-BCBD-5E0E2FFE36AC}"/>
    <hyperlink ref="I287" r:id="rId125" xr:uid="{890277FA-F4F9-4234-B547-0E2855C3EDB3}"/>
    <hyperlink ref="I286" r:id="rId126" xr:uid="{E78C3D41-5137-4D27-BE8E-72C881579FAD}"/>
    <hyperlink ref="I285" r:id="rId127" xr:uid="{21BA2C02-1B94-4F1D-8255-FF2483123C50}"/>
    <hyperlink ref="I284" r:id="rId128" xr:uid="{8DCC84B2-22AC-4199-8314-471EACF7C38F}"/>
    <hyperlink ref="I283" r:id="rId129" xr:uid="{D2ABC8E2-B051-4DE3-8AD5-BD295D948C94}"/>
    <hyperlink ref="I282" r:id="rId130" xr:uid="{CCCCA6B9-793F-48B5-A6E0-1494BE9B6E28}"/>
    <hyperlink ref="I281" r:id="rId131" xr:uid="{B1D8C467-1421-4779-AF29-4AB8574FB623}"/>
    <hyperlink ref="I280" r:id="rId132" xr:uid="{09B84456-22AC-4C5B-B7EF-19B08E6C049A}"/>
    <hyperlink ref="I279" r:id="rId133" xr:uid="{B17B0967-E0B5-47D0-AF95-D7D6374D011F}"/>
    <hyperlink ref="I278" r:id="rId134" xr:uid="{C5BF84B2-55DA-47BE-A9D7-CA5A564FFC69}"/>
    <hyperlink ref="I277" r:id="rId135" xr:uid="{41C2F041-D55D-4C4E-9D27-8A0ADC50FCD9}"/>
    <hyperlink ref="I276" r:id="rId136" xr:uid="{BA9626DD-2790-4B39-9762-9E5F7C1E49DE}"/>
    <hyperlink ref="I275" r:id="rId137" xr:uid="{D8A4EC78-9833-4BF7-8F1B-B540913DBD67}"/>
    <hyperlink ref="I274" r:id="rId138" xr:uid="{5F0538C5-9615-46E9-B753-2226757F7C0F}"/>
    <hyperlink ref="I273" r:id="rId139" xr:uid="{6BFC85EE-EA7E-44BE-AEC7-246784B32076}"/>
    <hyperlink ref="I272" r:id="rId140" xr:uid="{55869309-83B4-44DA-90C2-A3CDE3CA8155}"/>
    <hyperlink ref="I271" r:id="rId141" xr:uid="{E4256D62-6D40-4071-9B37-EDC4638262FC}"/>
    <hyperlink ref="I270" r:id="rId142" xr:uid="{5A3F00A3-1CE2-496A-A827-B52A9D37B71D}"/>
    <hyperlink ref="I269" r:id="rId143" xr:uid="{D9F27543-088B-441B-B461-DCF1D9E3F024}"/>
    <hyperlink ref="I268" r:id="rId144" xr:uid="{A322D37E-AD90-45E6-80A5-B4918FC0CDCF}"/>
    <hyperlink ref="I267" r:id="rId145" xr:uid="{6D9A204E-6278-4257-B828-DD6A816E3709}"/>
    <hyperlink ref="I266" r:id="rId146" xr:uid="{8B3ED39D-551F-47F6-B26B-97662076BB0E}"/>
    <hyperlink ref="I265" r:id="rId147" xr:uid="{1E4BA9B0-F91F-4F68-BA4E-C0958B25DE1B}"/>
    <hyperlink ref="I264" r:id="rId148" xr:uid="{0B08D0E5-15E3-40B5-A668-0A2228818D09}"/>
    <hyperlink ref="I263" r:id="rId149" xr:uid="{4EC0A402-12DA-4A17-93CC-948FEFB9D848}"/>
    <hyperlink ref="I262" r:id="rId150" xr:uid="{F68C4BE9-A55E-4B25-BC54-DD8F372394BD}"/>
    <hyperlink ref="I261" r:id="rId151" xr:uid="{21119997-FB9E-48CF-B4C8-D8B42C76E5E0}"/>
    <hyperlink ref="I260" r:id="rId152" xr:uid="{D6BFC55F-D58A-4496-9B3A-5823617C1308}"/>
    <hyperlink ref="I259" r:id="rId153" xr:uid="{87675FC7-4F58-43AF-A244-EF0F5EC1D881}"/>
    <hyperlink ref="I258" r:id="rId154" xr:uid="{0955B7F9-6B2D-4097-B108-8811223F3C2F}"/>
    <hyperlink ref="I257" r:id="rId155" xr:uid="{7F0FB808-EF66-43F9-83A6-F9972E33F92B}"/>
    <hyperlink ref="I256" r:id="rId156" xr:uid="{12E6F1A0-641C-448A-9FB5-770F0AFBFA27}"/>
    <hyperlink ref="I255" r:id="rId157" xr:uid="{D99AD778-DB80-4BE9-80BE-71EAF9D99078}"/>
    <hyperlink ref="I254" r:id="rId158" xr:uid="{D3CE900B-A369-483A-B7CD-624ABB40B6A7}"/>
    <hyperlink ref="I253" r:id="rId159" xr:uid="{B900EF97-3AF5-42C5-907A-EDE5763A8E71}"/>
    <hyperlink ref="I252" r:id="rId160" xr:uid="{96E83FE3-9A1D-47FE-B1FB-57AD75FE3428}"/>
    <hyperlink ref="I251" r:id="rId161" xr:uid="{0F12988C-6DBB-4003-99C4-FAC32A0D4E95}"/>
    <hyperlink ref="I250" r:id="rId162" xr:uid="{F349588B-EF14-49F0-AD56-076F8B29AA89}"/>
    <hyperlink ref="I249" r:id="rId163" xr:uid="{434C7D51-7B96-49DD-B207-6DBEE5EB71FB}"/>
    <hyperlink ref="I248" r:id="rId164" xr:uid="{BB02579B-CB09-4553-BFFC-674D09222CF6}"/>
    <hyperlink ref="I247" r:id="rId165" xr:uid="{3D294656-F95F-480A-B66A-AE46A0AA0D7D}"/>
    <hyperlink ref="I246" r:id="rId166" xr:uid="{69A7B625-793D-4DF0-8418-BCCDC59EE9C0}"/>
    <hyperlink ref="I245" r:id="rId167" xr:uid="{6A8307B8-45E0-45E5-A95C-67844A139D80}"/>
    <hyperlink ref="I244" r:id="rId168" xr:uid="{716551B7-DD0C-4ACA-8680-50A5D4963C5D}"/>
    <hyperlink ref="I213" r:id="rId169" xr:uid="{C6C42152-C816-4B42-8EA4-EE8441014C5F}"/>
    <hyperlink ref="I212" r:id="rId170" xr:uid="{C80E18B6-F6DC-49DD-919C-F14A7CEF3EF8}"/>
    <hyperlink ref="I211" r:id="rId171" xr:uid="{4D9E3245-05A2-47DF-A2ED-F36F0A6D23DA}"/>
    <hyperlink ref="I210" r:id="rId172" xr:uid="{5315A38F-F819-4115-AED3-E7A62AAE0E1C}"/>
    <hyperlink ref="I209" r:id="rId173" xr:uid="{783E1C38-35EC-492C-90A6-DA76C94C7125}"/>
    <hyperlink ref="I208" r:id="rId174" xr:uid="{B56684C5-E2E2-44FF-B28E-9A65BB868E14}"/>
    <hyperlink ref="I207" r:id="rId175" xr:uid="{D0CC2978-1A2E-468C-A6B3-6D70349896CD}"/>
    <hyperlink ref="I206" r:id="rId176" xr:uid="{0FFEB35B-F541-444B-A937-7A100110D2E5}"/>
    <hyperlink ref="I205" r:id="rId177" xr:uid="{6D0F7A8F-60BC-4AD3-9592-1A93D071EC06}"/>
    <hyperlink ref="I204" r:id="rId178" xr:uid="{448DDA10-4CFB-48CB-B2E9-213EFEA64038}"/>
    <hyperlink ref="I202" r:id="rId179" xr:uid="{8ADAC70E-10BF-4DE6-B4E5-E123629E435B}"/>
    <hyperlink ref="I201" r:id="rId180" xr:uid="{4CC771DE-7208-4444-8875-13ECDED7F0E0}"/>
    <hyperlink ref="I200" r:id="rId181" xr:uid="{3FF18B84-2A9F-4243-8093-245239C19440}"/>
    <hyperlink ref="I199" r:id="rId182" xr:uid="{39A83A00-EC44-4631-B182-84E2E5C9A5DE}"/>
    <hyperlink ref="I198" r:id="rId183" xr:uid="{79718C5C-5061-4C8A-9E63-3F587E383E35}"/>
    <hyperlink ref="I197" r:id="rId184" xr:uid="{F3D84775-C6AE-4F1B-8D92-20FF6FAB8371}"/>
    <hyperlink ref="I195" r:id="rId185" xr:uid="{6918B360-96EE-4199-B67E-23DC29D639B3}"/>
    <hyperlink ref="I193" r:id="rId186" xr:uid="{E4DA2737-D4A2-41BA-B0B7-29B3BAB94B4A}"/>
    <hyperlink ref="I191" r:id="rId187" display="https://www.google.com/maps/place/Obolon/data=!4m7!3m6!1s0x38ae8b99d86042bf:0x790df86148f94d5c!8m2!3d41.2933284!4d69.1975456!16s%2Fg%2F11k3hjbwmf!19sChIJv0Jg2JmLrjgRXE35SGH4DXk?coh=245187&amp;entry=tts&amp;g_ep=EgoyMDI1MDUxMi4wIPu8ASoJLDEwMjExNDUzSAFQAw%3D%3D&amp;skid=16e326cf-8766-47c6-95f5-36c55d10c986" xr:uid="{DEB9151C-181E-4594-B840-FD25703CBBC1}"/>
    <hyperlink ref="I190" r:id="rId188" xr:uid="{D16B832F-E98F-472F-A9B7-7427722E84F2}"/>
    <hyperlink ref="I189" r:id="rId189" xr:uid="{2A2D880F-C802-4DBB-85ED-075CEF5CF9C0}"/>
    <hyperlink ref="I186" r:id="rId190" xr:uid="{15DBCB42-2F85-42EB-B109-0EE35CD21E72}"/>
    <hyperlink ref="I175" r:id="rId191" xr:uid="{4D3DC22D-7F97-4DA7-A7B5-F8387C84FA3D}"/>
    <hyperlink ref="I176" r:id="rId192" xr:uid="{3EB747EB-773F-4F69-8D3A-EBC209C765FB}"/>
    <hyperlink ref="I177" r:id="rId193" xr:uid="{497BDBAB-FD6D-4F11-AEA9-19A574DB7D4B}"/>
    <hyperlink ref="I178" r:id="rId194" xr:uid="{2AAE34BE-6A2F-45F2-9060-69845E01572F}"/>
    <hyperlink ref="I180" r:id="rId195" xr:uid="{07365827-4FAD-42C1-A7B9-C11BFEEF3438}"/>
    <hyperlink ref="I181" r:id="rId196" xr:uid="{DC455179-789A-40E6-8FB6-BF737239432B}"/>
    <hyperlink ref="I182" r:id="rId197" xr:uid="{6E0CDC77-6BA1-43F9-852E-9C0469031460}"/>
    <hyperlink ref="I183" r:id="rId198" display="https://www.google.com/maps/place/Xalq+banki/@41.2912839,69.2107688,313m/data=!3m1!1e3!4m6!3m5!1s0x38ae8ba5fe515117:0xe9a4c9d43302324d!8m2!3d41.29156!4d69.212165!16s%2Fg%2F11y3rgc8sv?entry=tts&amp;g_ep=EgoyMDI1MDUxMy4xIPu8ASoASAFQAw%3D%3D&amp;skid=2f815148-4982-447c-a72d-2f71ea58ea29" xr:uid="{F93BD7DE-924C-4C78-847B-6586CDBB9A2D}"/>
    <hyperlink ref="I184" r:id="rId199" display="https://www.google.com/maps/place/Orient+Securities/@41.2936701,69.219924,415m/data=!3m1!1e3!4m6!3m5!1s0x38ae8a4b046fffff:0x1322bc50bb6c3e8d!8m2!3d41.2936606!4d69.2196319!16s%2Fg%2F11h4tn6j04?entry=tts&amp;g_ep=EgoyMDI1MDUxMy4xIPu8ASoASAFQAw%3D%3D&amp;skid=ae5b1baa-f8b8-4a69-b12b-9a9710ee9871" xr:uid="{0E2E859E-C4C8-4544-A61E-8481931CD5D8}"/>
    <hyperlink ref="I185" r:id="rId200" xr:uid="{8A30AC25-78B6-4C4A-89A5-DB4CB26F64ED}"/>
    <hyperlink ref="I174" r:id="rId201" xr:uid="{DB8F58B1-9B11-40F4-8C01-24E77AA61AD8}"/>
    <hyperlink ref="I173" r:id="rId202" xr:uid="{4B74B320-A5AA-47D7-923C-5AC44C429C8F}"/>
    <hyperlink ref="I172" r:id="rId203" xr:uid="{C4A66EE9-953C-4070-83B8-40A4AB8C8580}"/>
    <hyperlink ref="I171" r:id="rId204" xr:uid="{3C447F21-19E9-45EB-A5FB-EEE7E0DA391A}"/>
    <hyperlink ref="I170" r:id="rId205" xr:uid="{5F140168-60AB-4A6E-A2CC-788A09A70F0E}"/>
    <hyperlink ref="I169" r:id="rId206" xr:uid="{768F0549-011A-4CA8-856A-1359795C78A5}"/>
    <hyperlink ref="I168" r:id="rId207" xr:uid="{C9A6E265-FA9C-4DA9-B1B1-0777B2950A58}"/>
    <hyperlink ref="I167" r:id="rId208" xr:uid="{D2E1969B-AD75-4320-9836-8A60EA7D6F20}"/>
    <hyperlink ref="I150" r:id="rId209" xr:uid="{8060E4C1-3981-4D0C-8064-43CA06F88102}"/>
    <hyperlink ref="I151" r:id="rId210" xr:uid="{3C277788-77F6-4B75-988F-F3022FAD3308}"/>
    <hyperlink ref="I152" r:id="rId211" xr:uid="{18ECF4B4-8087-454E-BE24-4BA5682F82EA}"/>
    <hyperlink ref="I153" r:id="rId212" xr:uid="{F9A198AE-74FD-43E1-A7A1-7B2BBC4C3230}"/>
    <hyperlink ref="I154" r:id="rId213" xr:uid="{0B27EF56-BF9E-4F94-AD5B-6451E4803A89}"/>
    <hyperlink ref="I155" r:id="rId214" xr:uid="{40A5B248-3235-42AD-B849-D827981D9DE3}"/>
    <hyperlink ref="I156" r:id="rId215" xr:uid="{24E780D0-884E-4C16-95E8-6434DE169B96}"/>
    <hyperlink ref="I157" r:id="rId216" xr:uid="{A93863EF-C082-4DD1-BBEC-DB22BC1A6417}"/>
    <hyperlink ref="I158" r:id="rId217" xr:uid="{B64C345D-3F47-4BD0-AF62-479320C42DD1}"/>
    <hyperlink ref="I159" r:id="rId218" xr:uid="{2D6107A9-4286-48C1-92D7-415FA2972A91}"/>
    <hyperlink ref="I160" r:id="rId219" xr:uid="{0477E695-38C5-4717-A159-F8BAC165089E}"/>
    <hyperlink ref="I162" r:id="rId220" xr:uid="{8C41C3F3-E921-4677-A4F6-E7C61BA91FF6}"/>
    <hyperlink ref="I163" r:id="rId221" xr:uid="{1869F274-1E1E-44B5-8F48-2FB8C4367672}"/>
    <hyperlink ref="I164" r:id="rId222" xr:uid="{75B6214F-75E0-4AA2-8156-C18A1FE76592}"/>
    <hyperlink ref="I165" r:id="rId223" xr:uid="{50AC8EBD-AAF7-4149-A693-48F91A725448}"/>
    <hyperlink ref="I166" r:id="rId224" xr:uid="{78F6A4C0-56AB-48DF-97F8-3C93BB5CBBCA}"/>
    <hyperlink ref="I133" r:id="rId225" xr:uid="{F3D825EF-D4D0-46F2-A0EF-87EAA9C3BD4E}"/>
    <hyperlink ref="I134" r:id="rId226" xr:uid="{786863AF-CBD4-4A89-977A-9A6A12F4BCD1}"/>
    <hyperlink ref="I135" r:id="rId227" xr:uid="{CF3F0916-69F9-48E9-BC13-7860BF55A7CC}"/>
    <hyperlink ref="I136" r:id="rId228" xr:uid="{DA9971D2-B905-4E81-90BA-46610FE21784}"/>
    <hyperlink ref="I137" r:id="rId229" xr:uid="{6903FA18-E487-4469-83AB-931C00C70FAB}"/>
    <hyperlink ref="I138" r:id="rId230" xr:uid="{552BD681-C88B-4656-805E-7EE21DD8FE15}"/>
    <hyperlink ref="I139" r:id="rId231" xr:uid="{0A8494A8-1540-4631-9BED-6E0D9DCFBD52}"/>
    <hyperlink ref="I140" r:id="rId232" xr:uid="{2E8E38AC-0A07-489F-AE4A-326989FE3E1E}"/>
    <hyperlink ref="I141" r:id="rId233" xr:uid="{B60478A7-B7B0-4939-A8CF-A201DEF3BFC1}"/>
    <hyperlink ref="I142" r:id="rId234" xr:uid="{4E9A42AD-6CDE-4EB1-83A5-515F96F9D14C}"/>
    <hyperlink ref="I143" r:id="rId235" xr:uid="{E44CF999-62CC-4449-8489-D089419FC7A6}"/>
    <hyperlink ref="I144" r:id="rId236" xr:uid="{B298C5E1-F3A6-4D0D-A24F-B12A551CD990}"/>
    <hyperlink ref="I145" r:id="rId237" xr:uid="{01A5E0D7-A231-47C7-84B7-A21783692D7C}"/>
    <hyperlink ref="I146" r:id="rId238" xr:uid="{2285ABCA-1E48-4071-8E13-D26DF099D259}"/>
    <hyperlink ref="I147" r:id="rId239" xr:uid="{F5320D92-4FDF-4735-94FD-B62A6C50B577}"/>
    <hyperlink ref="I148" r:id="rId240" xr:uid="{C0D9B328-551C-4C42-8E61-A083C1FB5903}"/>
    <hyperlink ref="I126" r:id="rId241" display="https://www.google.com/maps/place/Mirobod+tumani+statistika+boshqarmasi/@41.2963503,69.2834831,299m/data=!3m1!1e3!4m6!3m5!1s0x38ae8b122878999d:0x123bc05bd2437e0b!8m2!3d41.2961668!4d69.2843104!16s%2Fg%2F11q938lcb4?entry=tts&amp;g_ep=EgoyMDI1MDUxMi4wIPu8ASoASAFQAw%3D%3D&amp;skid=6f340935-651b-436e-bb80-700848d10ede" xr:uid="{47323F87-D0B5-495D-973A-2394B13833BB}"/>
    <hyperlink ref="I127" r:id="rId242" display="https://www.google.com/maps/place/Mirobod+tumani+Davlat+Soliq+inspeksiyasi/@41.2954794,69.2840148,299m/data=!3m1!1e3!4m6!3m5!1s0x38ae8b5b285350f3:0xa095b22c4e697035!8m2!3d41.2954115!4d69.2846772!16s%2Fg%2F11tdp2wk13?entry=tts&amp;g_ep=EgoyMDI1MDUxMi4wIPu8ASoASAFQAw%3D%3D&amp;skid=3e1e4d86-6f2b-4d2a-9b42-9dbdec0ada36" xr:uid="{D077454A-8875-4E26-B7AD-6C006C79A4CC}"/>
    <hyperlink ref="I128" r:id="rId243" xr:uid="{73ED41D7-94D3-43A9-ACAC-380DC59D0531}"/>
    <hyperlink ref="I2" r:id="rId244" xr:uid="{ADC5CFD2-FEE3-455E-9A2E-8701A1541C6F}"/>
    <hyperlink ref="I3" r:id="rId245" xr:uid="{BBEC686C-A943-4BA7-802E-4E173F85CC6C}"/>
    <hyperlink ref="I4" r:id="rId246" xr:uid="{8D9CEE25-ED63-45F7-9A71-D7817A4D370E}"/>
    <hyperlink ref="I5" r:id="rId247" xr:uid="{9CAD3051-446D-45B5-8A32-ED3F1D962C28}"/>
    <hyperlink ref="I6" r:id="rId248" xr:uid="{761A5E05-D260-42D7-A16C-336DD82B5953}"/>
    <hyperlink ref="I7" r:id="rId249" xr:uid="{7DA9A196-2B75-45BB-988F-7B5227296F8B}"/>
    <hyperlink ref="I8" r:id="rId250" xr:uid="{E54510CD-439E-421A-BBC8-81360770E588}"/>
    <hyperlink ref="I9" r:id="rId251" xr:uid="{B07A85D3-7270-4EDD-A3BB-E3A68A7DE5C9}"/>
    <hyperlink ref="I10" r:id="rId252" xr:uid="{6B987B41-A18A-4581-B0F9-7141E1F00141}"/>
    <hyperlink ref="I11" r:id="rId253" xr:uid="{FB1D46F0-78B7-4D24-8DB0-1E1626EDDF84}"/>
    <hyperlink ref="I12" r:id="rId254" xr:uid="{0CC33914-54BF-4C58-AFF4-F032874845BA}"/>
    <hyperlink ref="I13" r:id="rId255" xr:uid="{1B242BD3-6B6D-4D82-972F-30380013E65C}"/>
    <hyperlink ref="I14" r:id="rId256" xr:uid="{2BC4D058-4D00-4EC0-93D7-6BB8AA01D85E}"/>
    <hyperlink ref="I15" r:id="rId257" xr:uid="{5D19BA1F-6E49-4541-B4E9-E8EA57E183D7}"/>
    <hyperlink ref="I16" r:id="rId258" xr:uid="{F32F498C-9950-4588-A979-DCE3B9E21D93}"/>
    <hyperlink ref="I17" r:id="rId259" xr:uid="{F7F6F555-9F2C-43FE-9B11-AECD8C16FB91}"/>
    <hyperlink ref="I18" r:id="rId260" xr:uid="{F3AE1378-15C3-4EDF-A5E4-F8509330E2AD}"/>
    <hyperlink ref="I19" r:id="rId261" xr:uid="{60C6F98F-A877-4C25-80AC-A0F61730C6AC}"/>
    <hyperlink ref="I20" r:id="rId262" xr:uid="{0D668BCB-200B-4050-9BD4-DC11E1F65207}"/>
    <hyperlink ref="I21" r:id="rId263" xr:uid="{EA8FC5EF-53B6-47B7-966D-E63B571FF284}"/>
    <hyperlink ref="I22" r:id="rId264" xr:uid="{82C1EAA3-E810-4AE2-9DD8-5DB25A30C6C8}"/>
    <hyperlink ref="I23" r:id="rId265" xr:uid="{CB1BB862-E39F-489A-ACC4-46F283460F92}"/>
    <hyperlink ref="I24" r:id="rId266" xr:uid="{93F57153-5D7B-4CB9-A231-C0D177AAC1FD}"/>
    <hyperlink ref="I25" r:id="rId267" xr:uid="{B698CE1A-2F7D-498A-8540-5DE0C3B7F75D}"/>
    <hyperlink ref="I26" r:id="rId268" xr:uid="{60D2C52A-ED19-45C8-8C34-2324F5F2486D}"/>
    <hyperlink ref="I27" r:id="rId269" xr:uid="{55917E79-9010-4906-934A-2CFFA54B0040}"/>
    <hyperlink ref="I28" r:id="rId270" xr:uid="{FB6DBF01-74D0-465B-9516-4BAAA8297F61}"/>
    <hyperlink ref="I29" r:id="rId271" xr:uid="{5EC1D670-F04D-46C8-8020-1A3CC0914B2D}"/>
    <hyperlink ref="I30" r:id="rId272" xr:uid="{0828C6B5-1087-4973-AC9E-1466F8800C2E}"/>
    <hyperlink ref="I31" r:id="rId273" xr:uid="{0EAEAE4A-2646-4F24-9D72-58526CF136CA}"/>
    <hyperlink ref="I32" r:id="rId274" xr:uid="{CFF096F4-8F81-449A-8E2A-44957EA7980D}"/>
    <hyperlink ref="I33" r:id="rId275" xr:uid="{31D6B2E4-0C30-43A0-AEBE-0B1008E4692C}"/>
    <hyperlink ref="I34" r:id="rId276" xr:uid="{ABB60491-3B66-4EA8-B587-70416FDAF972}"/>
    <hyperlink ref="I35" r:id="rId277" xr:uid="{03539723-7A3F-4E06-92F6-8F50F7EA7142}"/>
    <hyperlink ref="I36" r:id="rId278" xr:uid="{B4668B2E-D3F0-4E9B-8AD7-261C73196457}"/>
    <hyperlink ref="I37" r:id="rId279" xr:uid="{151EB5C7-EB40-4001-A422-3D996766937F}"/>
    <hyperlink ref="I38" r:id="rId280" xr:uid="{FB6B14D1-8AF4-4A9B-822E-4160D639D896}"/>
    <hyperlink ref="I39" r:id="rId281" xr:uid="{E7ED084B-6047-4AB3-A389-F9724CAF232B}"/>
    <hyperlink ref="I41" r:id="rId282" xr:uid="{07385F60-BD80-4F21-94D0-4FFC50FAFB33}"/>
    <hyperlink ref="I42" r:id="rId283" xr:uid="{357C43D1-FBF6-476C-BAA0-712D841A7FC7}"/>
    <hyperlink ref="I43" r:id="rId284" xr:uid="{4312A49A-C48C-4EB4-B6F7-9313B64974F4}"/>
    <hyperlink ref="I45" r:id="rId285" xr:uid="{BA869B47-D2E1-488B-8CD1-D625582DFFFC}"/>
    <hyperlink ref="I46" r:id="rId286" xr:uid="{6C1400AE-54AE-42CB-B51C-DE272A743821}"/>
    <hyperlink ref="I47" r:id="rId287" xr:uid="{C89E9BF8-E47F-4FF5-898B-AFFDBA492169}"/>
    <hyperlink ref="I48" r:id="rId288" xr:uid="{514B46F4-B4DB-4A21-913F-2054E6C3A31C}"/>
    <hyperlink ref="I49" r:id="rId289" xr:uid="{65D41ABB-A605-48F2-8068-9D0842098271}"/>
    <hyperlink ref="I50" r:id="rId290" xr:uid="{490489E4-FECC-43A8-863D-0B8B9882BDBF}"/>
    <hyperlink ref="I51" r:id="rId291" xr:uid="{513501B7-88C4-47A5-8E7F-9F36AA68E2F2}"/>
    <hyperlink ref="I52" r:id="rId292" xr:uid="{08E144AF-7C0F-43F5-8896-3473056054B7}"/>
    <hyperlink ref="I53" r:id="rId293" xr:uid="{73C3D9F0-06EF-497E-B9AF-021F1FFFD72A}"/>
    <hyperlink ref="I54" r:id="rId294" xr:uid="{A82867F6-AF62-4CA8-BE99-AF2AE02DA896}"/>
    <hyperlink ref="I55" r:id="rId295" xr:uid="{12DD2B36-985E-4DEE-823A-C06860F08392}"/>
    <hyperlink ref="I56" r:id="rId296" xr:uid="{750C0FF5-87FB-49F5-AD61-34D6385199DF}"/>
    <hyperlink ref="I57" r:id="rId297" xr:uid="{D2E59272-CE8B-4305-B04B-B68AB1FFD199}"/>
    <hyperlink ref="I129" r:id="rId298" xr:uid="{A1302852-3A5E-41A6-91D2-2B79E6C4B281}"/>
    <hyperlink ref="I130" r:id="rId299" xr:uid="{1649321A-DBDE-43AF-9E36-8D29C555E268}"/>
    <hyperlink ref="I131" r:id="rId300" xr:uid="{4102646A-FE15-48F0-AA55-186169834D48}"/>
    <hyperlink ref="I132" r:id="rId301" xr:uid="{99667A85-A72C-4055-BF78-7004A46C0CFA}"/>
    <hyperlink ref="I58" r:id="rId302" xr:uid="{49598C4D-8686-459C-81B6-28480FEE8045}"/>
    <hyperlink ref="I59" r:id="rId303" xr:uid="{A0C0CD65-F7F7-48BA-BE13-7A381BFEF864}"/>
    <hyperlink ref="I60" r:id="rId304" xr:uid="{AE785458-F120-4887-A15B-F780867253BE}"/>
    <hyperlink ref="I61" r:id="rId305" xr:uid="{4286DB09-6433-4D62-8F1C-7ED817AEB078}"/>
    <hyperlink ref="I62" r:id="rId306" xr:uid="{72A2C2D4-ADCA-4513-948D-03F4B499EE8D}"/>
    <hyperlink ref="I63" r:id="rId307" xr:uid="{2A8C281A-05BA-4247-B663-B2888E4B08A2}"/>
    <hyperlink ref="I64" r:id="rId308" xr:uid="{CA5180F5-5FFF-4EE6-A6FB-8B35C2E34CD5}"/>
    <hyperlink ref="I65" r:id="rId309" xr:uid="{43350BA5-21FB-4163-8A1D-FF193FEAB6DF}"/>
    <hyperlink ref="I66" r:id="rId310" xr:uid="{82708095-97F1-468C-928A-F46F0B5CA2CE}"/>
    <hyperlink ref="I67" r:id="rId311" xr:uid="{BFFDBC0C-5AC1-4C06-A611-168ADAD79DCE}"/>
    <hyperlink ref="I68" r:id="rId312" xr:uid="{B7C5B6E2-BA40-4041-8E1A-F4F0DB769DCC}"/>
    <hyperlink ref="I69" r:id="rId313" xr:uid="{DD86D299-14EE-4AC2-A061-47842DD88C56}"/>
    <hyperlink ref="I70" r:id="rId314" xr:uid="{B956579F-33C4-48CC-A10E-24703F049E34}"/>
    <hyperlink ref="I71" r:id="rId315" xr:uid="{C41251F1-120F-433F-979D-D62B43DD73A2}"/>
    <hyperlink ref="I72" r:id="rId316" xr:uid="{ADECD485-052C-4C98-8C54-BAC6E9636DAB}"/>
    <hyperlink ref="I73" r:id="rId317" xr:uid="{3E3F92B3-898C-4C2E-B28D-F3E8E93E09BF}"/>
    <hyperlink ref="I74" r:id="rId318" xr:uid="{E739CC69-5424-4F32-ADF3-291FD0014B0F}"/>
    <hyperlink ref="I75" r:id="rId319" xr:uid="{101ABF84-611D-4B06-BD84-60FD50AE1BCB}"/>
    <hyperlink ref="I76" r:id="rId320" xr:uid="{5B04B398-F4A2-4542-9D7C-97AF43EAADEA}"/>
    <hyperlink ref="I77" r:id="rId321" xr:uid="{658B674F-6AF5-4F83-977C-397F7A309A94}"/>
    <hyperlink ref="I78" r:id="rId322" xr:uid="{CFF82A42-E749-4C0D-BDC3-8A3D9B7C1BF9}"/>
    <hyperlink ref="I79" r:id="rId323" xr:uid="{267417E0-99AD-4690-B38B-82D73E3A9499}"/>
    <hyperlink ref="I80" r:id="rId324" xr:uid="{3955AF50-3295-43C3-9EA0-9B00E2139569}"/>
    <hyperlink ref="I81" r:id="rId325" xr:uid="{6D6A571F-336B-4FB8-81BB-89E63836E30B}"/>
    <hyperlink ref="I83" r:id="rId326" xr:uid="{104574DE-2441-499A-BA95-7FDC2A5C99C8}"/>
    <hyperlink ref="I84" r:id="rId327" xr:uid="{F4A27D94-432D-47B5-83DC-1BD2806353CB}"/>
    <hyperlink ref="I85" r:id="rId328" xr:uid="{E8CB7CA2-E076-43C0-8F58-F0CEF6465221}"/>
    <hyperlink ref="I86" r:id="rId329" xr:uid="{405E496E-71BA-4F82-B9C5-9A0A5417C22E}"/>
    <hyperlink ref="I87" r:id="rId330" xr:uid="{252D4005-925E-4A83-88C1-655A0A4C17A9}"/>
    <hyperlink ref="I88" r:id="rId331" xr:uid="{A457875B-C6DF-4C55-BEDC-B02BF6E8F35A}"/>
    <hyperlink ref="I89" r:id="rId332" xr:uid="{79EB5AC4-5B34-4139-8A51-0991042B32CC}"/>
    <hyperlink ref="I90" r:id="rId333" xr:uid="{6202C3DC-9604-43CB-A590-77F7E05423D9}"/>
  </hyperlinks>
  <pageMargins left="0.7" right="0.7" top="0.75" bottom="0.75" header="0.3" footer="0.3"/>
  <pageSetup paperSize="9" orientation="portrait" horizontalDpi="0" verticalDpi="0" r:id="rId3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Лист1!_ФильтрБазыДанных</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Abdulaziz Abdusattorov</cp:lastModifiedBy>
  <dcterms:created xsi:type="dcterms:W3CDTF">2025-05-27T06:38:09Z</dcterms:created>
  <dcterms:modified xsi:type="dcterms:W3CDTF">2025-05-27T13:10:14Z</dcterms:modified>
</cp:coreProperties>
</file>