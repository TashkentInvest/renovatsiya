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Лист1"/>
  </sheets>
  <definedNames>
    <definedName name="_xlnm._FilterDatabase" localSheetId="0">Лист1!$A$4:$Y$443</definedName>
  </definedNames>
  <calcPr fullCalcOnLoad="1"/>
</workbook>
</file>

<file path=xl/sharedStrings.xml><?xml version="1.0" encoding="utf-8"?>
<sst xmlns="http://schemas.openxmlformats.org/spreadsheetml/2006/main" count="3979" uniqueCount="1495">
  <si>
    <t>№</t>
  </si>
  <si>
    <t>Туман</t>
  </si>
  <si>
    <t>Манзил
(МФЙ, кўча)</t>
  </si>
  <si>
    <t>Бош режадаги ҳолати ва қавати</t>
  </si>
  <si>
    <t>Таклиф қавати ва ҳудуд</t>
  </si>
  <si>
    <t xml:space="preserve">Фаолият тури </t>
  </si>
  <si>
    <t>Фалияти филтир учун</t>
  </si>
  <si>
    <t>Ер майдони
(га)</t>
  </si>
  <si>
    <t>Харита</t>
  </si>
  <si>
    <r>
      <t xml:space="preserve">Бош режага таклиф киритилганлиги
</t>
    </r>
    <r>
      <rPr>
        <sz val="9"/>
        <color rgb="FFff0000"/>
        <rFont val="Calibri"/>
        <family val="2"/>
        <scheme val="minor"/>
      </rPr>
      <t xml:space="preserve">(таклиф берилган лекин киритилмаган бўлас </t>
    </r>
    <r>
      <rPr>
        <b/>
        <sz val="9"/>
        <color rgb="FFff0000"/>
        <rFont val="Calibri"/>
        <family val="2"/>
        <scheme val="minor"/>
      </rPr>
      <t>КИРИТИЛМАГАН</t>
    </r>
    <r>
      <rPr>
        <sz val="9"/>
        <color rgb="FFff0000"/>
        <rFont val="Calibri"/>
        <family val="2"/>
        <scheme val="minor"/>
      </rPr>
      <t xml:space="preserve"> хисобланади)</t>
    </r>
  </si>
  <si>
    <r>
      <t xml:space="preserve">Таклиф тури
</t>
    </r>
    <r>
      <rPr>
        <sz val="12"/>
        <color rgb="FF000000"/>
        <rFont val="Calibri"/>
        <family val="2"/>
        <scheme val="minor"/>
      </rPr>
      <t>(Реновация, Инвеститция, Аукцион)</t>
    </r>
  </si>
  <si>
    <t>Этажность</t>
  </si>
  <si>
    <t>Қурилиш ости майдони</t>
  </si>
  <si>
    <t>Бинонинг умумий майдони</t>
  </si>
  <si>
    <t>Хизмат кўрсатиш сохаси</t>
  </si>
  <si>
    <t>Яшаш майдон</t>
  </si>
  <si>
    <t>хонадонлар сони</t>
  </si>
  <si>
    <t>Ахоли сони</t>
  </si>
  <si>
    <t>Бектемир</t>
  </si>
  <si>
    <t xml:space="preserve">Мажнунтол МФЙ Охангорон шох кўчаси бўйида </t>
  </si>
  <si>
    <t>Консервация яшил худуд (қаватлар сони 0)</t>
  </si>
  <si>
    <t>Реконструкция
(16 қават)</t>
  </si>
  <si>
    <t>Кўп хонадонли турар жой мажмуаси ва  Мактаб гача таълим муассасаси</t>
  </si>
  <si>
    <t>Кўп қаватли турар жой ва Савдо маиший</t>
  </si>
  <si>
    <t>https://maps.app.goo.gl/4NXL4rca1gxKGEWj6</t>
  </si>
  <si>
    <t>Киритилмаган</t>
  </si>
  <si>
    <t>Аукцион</t>
  </si>
  <si>
    <t>Абай МФЙ Х.Байқаро 1-бекр кўчаси 22-уй қаршисида</t>
  </si>
  <si>
    <t>Реконструкция
(3 қават)</t>
  </si>
  <si>
    <t>офис биноси</t>
  </si>
  <si>
    <t xml:space="preserve">Савдо ва маиший ҳизмат кўрсатиш </t>
  </si>
  <si>
    <t>https://maps.app.goo.gl/fKYpqTHRaFeLKe2X6</t>
  </si>
  <si>
    <t>Киритилган</t>
  </si>
  <si>
    <t xml:space="preserve">Миришкор МФЙ Водник дахаси </t>
  </si>
  <si>
    <t>Реконструкция Аралаш фойдаланш (қаватлар сони 5)</t>
  </si>
  <si>
    <t>Реконструкция
(12 қават)</t>
  </si>
  <si>
    <t xml:space="preserve">Кўп хонадонли турар жой 
мажмуаси </t>
  </si>
  <si>
    <t>https://maps.app.goo.gl/o6DPDyyV1gVnDCzW7</t>
  </si>
  <si>
    <t>Ивестиция</t>
  </si>
  <si>
    <t>Зилола МФЙ Рохат кўчаси бўйида</t>
  </si>
  <si>
    <t>Реновация Аралаш фойдаланш (қаватлар сони 5)</t>
  </si>
  <si>
    <t>(16 қаватли ) 3 та кўп қаватли уй-жойлар биринчи қаватларида савдо ва маиший хизмат кўрсатиш биноси ва Мактабгача таълим муасссаси ҳамда 1 та Мактаб</t>
  </si>
  <si>
    <t>https://maps.app.goo.gl/29BH11uKgcqVp4HU7</t>
  </si>
  <si>
    <t xml:space="preserve">Миришкор МФЙ </t>
  </si>
  <si>
    <t xml:space="preserve">Консервация сув бўйлари ва хавзалари (қаватлар сони 0) </t>
  </si>
  <si>
    <t>Реконструкция
(40 қават)</t>
  </si>
  <si>
    <t>“Чирчиқ дарёси бўйида савдо маиший кўп хонадонли турар жой ва бизнес марказлар кўнгил очар боғлар</t>
  </si>
  <si>
    <t>https://maps.app.goo.gl/2AmBoH2bGg5JvyzF9</t>
  </si>
  <si>
    <t>Инвестиция</t>
  </si>
  <si>
    <t>Забардаст МФЙ Янгихаёт кўчаси</t>
  </si>
  <si>
    <t>Консервация ривожланиш худуди (қаватлар сони 0)</t>
  </si>
  <si>
    <t>Реконструкция
(34 қават)</t>
  </si>
  <si>
    <t>Савдо маиший кўп хонадонли турар жой ва бизнес марказлар кўнгил очар боғлар</t>
  </si>
  <si>
    <t>https://maps.app.goo.gl/n1mC3vKnq5AAkQgT6</t>
  </si>
  <si>
    <t>Олтинтопган МФЙ Олтинтопган ва Жамил тошкандий кўчалари кесишмасида</t>
  </si>
  <si>
    <t>Реновация Аралаш фойдаланиш (қаватлар сони 5)</t>
  </si>
  <si>
    <t>Реновация
(12 қават)</t>
  </si>
  <si>
    <t>Кўп хонадонли турар жой мажмуаси, маиший хизмат кўрсатиш бинолари ва Мактабгача таълим муасссаси</t>
  </si>
  <si>
    <t xml:space="preserve">https://maps.app.goo.gl/dg3hHTUQdrLJYZnM6 </t>
  </si>
  <si>
    <t>Реновация</t>
  </si>
  <si>
    <t>Забардаст МФЙ Паркент тракт кўчаси</t>
  </si>
  <si>
    <t>Реконструкция Ахоли яшаш жойи (қаватлар сони 3)</t>
  </si>
  <si>
    <t xml:space="preserve">https://maps.app.goo.gl/BZf47f6MpwLmmA1MA </t>
  </si>
  <si>
    <t>Х.Байқаро МФЙ, Х.Байқаро ва Юқори чирчиқ кўчалари кесишмасида</t>
  </si>
  <si>
    <t>Реконструкция Ахоли яшаш жойи (қаватлар сони 5)</t>
  </si>
  <si>
    <t>https://maps.app.goo.gl/5c4qtUvKH3xoxKWo8</t>
  </si>
  <si>
    <t>Х.Байқаро МФЙ, катта ариқ кўчаси</t>
  </si>
  <si>
    <t>Реновация
(16 қават)</t>
  </si>
  <si>
    <t>https://maps.app.goo.gl/bFUSN1ZKk6WhdbYy8</t>
  </si>
  <si>
    <t>Зилола МФЙ, Водник дахаси</t>
  </si>
  <si>
    <t>https://maps.app.goo.gl/DPXikGZS4c1XrkJM9</t>
  </si>
  <si>
    <t>Рохат МФЙ, Водник дахаси</t>
  </si>
  <si>
    <t>Реновация
(10 қават)</t>
  </si>
  <si>
    <t>https://maps.app.goo.gl/NogFpNyQsgvq7Cgk9</t>
  </si>
  <si>
    <t>Чашма МФЙ,  ИҚБОЛ МФЙ</t>
  </si>
  <si>
    <t>Реновация Ахоли яшаш жойи (қаватлар сони 5)</t>
  </si>
  <si>
    <t>https://maps.app.goo.gl/3izqsfY4MVjVMFmb8</t>
  </si>
  <si>
    <t>Ийк ота МФЙ, Дўстона кўчаси</t>
  </si>
  <si>
    <t>Реновация Аралаш фойдаланиш (қаватлар сони 3)</t>
  </si>
  <si>
    <t>Кўп хонадонли турар жой мажмуаси, маиший хизмат кўрсатиш бинолари ва Мактабгача таълим муасссаси хамда кўнгил очар боғлар</t>
  </si>
  <si>
    <t>https://maps.app.goo.gl/QvwG1iEEguBVM8u87</t>
  </si>
  <si>
    <t>Нурафшон МФЙ, Нурафшон ва Истиқбол кўчалари</t>
  </si>
  <si>
    <t>Реновация Аралаш фойдаланиш (қаватлар сони7)</t>
  </si>
  <si>
    <t xml:space="preserve">https://maps.app.goo.gl/zLr9x2iEY4pZxwZQ6 </t>
  </si>
  <si>
    <t xml:space="preserve"> Иқбол МФЙ Водник дахаси 33А-уй ен томонида</t>
  </si>
  <si>
    <t xml:space="preserve">Кўп хонадонли турар жой ва махалла маркази қуриш топшириғи берилганлиги юзасидан </t>
  </si>
  <si>
    <t>https://maps.app.goo.gl/tcrACTh4krnvs15N6</t>
  </si>
  <si>
    <t>Абай МФЙ Г-60 кўчаси</t>
  </si>
  <si>
    <t>Ахоли яшаш жойи (қаватлар сони 5)</t>
  </si>
  <si>
    <t xml:space="preserve">Кўп хонадонли турар жой бинолари қуриш топшириғи берилганлиги юзасидан </t>
  </si>
  <si>
    <t>https://maps.app.goo.gl/ecoxr1gZxjRdtW7E7</t>
  </si>
  <si>
    <t>Бектемир шох кўчаси бўйлаб</t>
  </si>
  <si>
    <t>Реконструкция Аралаш фойдаланш (қаватлар сони 3-5)</t>
  </si>
  <si>
    <t>Реновация
(14 қават)</t>
  </si>
  <si>
    <t>Савдо маиший кўп хонадонли турар жой ва бизнес марказлар</t>
  </si>
  <si>
    <t>https://maps.app.goo.gl/PUwWx2B5wDCc38dAA</t>
  </si>
  <si>
    <t>Охангорон ва Ўзбекистон кўчаси кесишмаси</t>
  </si>
  <si>
    <t>Реконструкция Ривожланиш худуди (қаватлар сони 3)</t>
  </si>
  <si>
    <t xml:space="preserve"> Савдо маиший кўп хонадонли турар жой ва бизнес марказлар</t>
  </si>
  <si>
    <t>https://maps.app.goo.gl/x5KFeefjJ9xN1CLfA</t>
  </si>
  <si>
    <t xml:space="preserve">Гулбоғ МФЙ, </t>
  </si>
  <si>
    <t>Консервация қизил чизиқ худуди (қаватлар сони 0)</t>
  </si>
  <si>
    <t>Реконструкция
(7 қават)</t>
  </si>
  <si>
    <t>Давлат хусусий шериклик объекти, ("Гулбоғ" маҳалла биноси 7 қаватли тадбиркорлик объектлари)</t>
  </si>
  <si>
    <t>Замонавий маҳалла биноси</t>
  </si>
  <si>
    <t>https://maps.app.goo.gl/HLSVMsZ2SE7yfgy6A</t>
  </si>
  <si>
    <t xml:space="preserve"> Нирлийўл МФЙ,</t>
  </si>
  <si>
    <t>Реконструкция Ахоли яшаш худуди (қаватлар сони 3)</t>
  </si>
  <si>
    <t>Реконструкция
(6 қават)</t>
  </si>
  <si>
    <t>Давлат хусусий шериклик объекти, ("Нурли йўл" маҳалла биноси 6 қаватли тадбиркорлик объектлари)</t>
  </si>
  <si>
    <t>https://maps.app.goo.gl/GuJ66Ap6xdieZgxZ8</t>
  </si>
  <si>
    <t xml:space="preserve">Киритилган </t>
  </si>
  <si>
    <t xml:space="preserve"> Cохил МФЙ, </t>
  </si>
  <si>
    <t>Давлат хусусий шериклик объекти, ("Сохил" маҳалла биноси 6 қаватли тадбиркорлик объектлари)</t>
  </si>
  <si>
    <t>https://maps.app.goo.gl/9cMUbHnDdL9YyG4j9</t>
  </si>
  <si>
    <t>Мажнунтол МФЙ,</t>
  </si>
  <si>
    <t>Давлат хусусий шериклик объекти, ("Мажнунтол" маҳалла биноси 6 қаватли тадбиркорлик объектлари)</t>
  </si>
  <si>
    <t>https://maps.app.goo.gl/fVtQrQMxHmUpjpGa8</t>
  </si>
  <si>
    <t xml:space="preserve">Устозлар МФЙ, </t>
  </si>
  <si>
    <t>Давлат хусусий шериклик объекти, ("Устозлар" маҳалла биноси 6 қаватли тадбиркорлик объектлари)</t>
  </si>
  <si>
    <t>https://maps.app.goo.gl/oL6YKXA5gs1bsXnRA</t>
  </si>
  <si>
    <t xml:space="preserve">Мусаффо МФЙ, </t>
  </si>
  <si>
    <t>Давлат хусусий шериклик объекти, ("Мусаффо" маҳалла биноси 6 қаватли тадбиркорлик объектлари)</t>
  </si>
  <si>
    <t>https://maps.app.goo.gl/cc3bT9fanRS4Sj397</t>
  </si>
  <si>
    <t>26*</t>
  </si>
  <si>
    <t xml:space="preserve">Миришкор МФЙ Охангарон йўли кўчаси </t>
  </si>
  <si>
    <t>Реновация 2 қават
Такомиллаштириш худуди</t>
  </si>
  <si>
    <t>Кўп хонадонли турар жой 
мажмуаси хамда савдо маиший хизмат кўрсатиш</t>
  </si>
  <si>
    <t>https://www.google.ru/maps/place/41°14'04.2%22N+69°17'52.8%22E/@41.2625735,69.3671082,1684m/data=!3m1!1e3!4m4!3m3!8m2!3d41.234506!4d69.297993?entry=ttu&amp;g_ep=EgoyMDI1MDUyMS4wIKXMDSoASAFQAw%3D%3D</t>
  </si>
  <si>
    <t>Сергели</t>
  </si>
  <si>
    <t xml:space="preserve">Ног‘ай-қо‘ргон ТХАЙ ко‘часи </t>
  </si>
  <si>
    <t>Қизил чизиғда 0-қават</t>
  </si>
  <si>
    <t>Ренаватсия 2-қават</t>
  </si>
  <si>
    <t xml:space="preserve">1 қаватлик автомобилларга техник хизмат кўрсатиш </t>
  </si>
  <si>
    <t>ҳттпс://мапс.апп.гоо.гл/АЖХкҚWиомфнВТтҲг7</t>
  </si>
  <si>
    <t>Юқори Дархон МФЙ</t>
  </si>
  <si>
    <t>Консерватсия сув бўйлари ва хавзалари 0-қават</t>
  </si>
  <si>
    <t>1 қаватлик савдо ва маиший хизмат кўрсатиш объектлари</t>
  </si>
  <si>
    <t>ҳттпс://мапс.апп.гоо.гл/мМХТCхқЖЗй5йх2Ме8</t>
  </si>
  <si>
    <t>Садоқатли МФЙ</t>
  </si>
  <si>
    <t>Реноватсия Яшил худуд 0-қават</t>
  </si>
  <si>
    <t>Ренаватсия 5-қават</t>
  </si>
  <si>
    <t>Логистика маркази омборхона ва 4 қаватли офис бинолари</t>
  </si>
  <si>
    <t>ҳттпс://мапс.апп.гоо.гл/тПАҲ8кФCвАу7бCрн7</t>
  </si>
  <si>
    <t xml:space="preserve">Қумариқ МФЙ </t>
  </si>
  <si>
    <t xml:space="preserve">Қизил чизиғ, Консерватсия ва Реноватсия 5-қават </t>
  </si>
  <si>
    <t>Нодавлат умумтаълим ва мактабгача таълим муассасаларини қуриш</t>
  </si>
  <si>
    <t>Таълим</t>
  </si>
  <si>
    <t>ҳттпс://мапс.апп.гоо.гл/ЙЕх41пфНАВ1бхХБ5А</t>
  </si>
  <si>
    <t xml:space="preserve">Жонариқ МФЙ </t>
  </si>
  <si>
    <t>Консерватсия, Транспорт Аеропорт 0-қават</t>
  </si>
  <si>
    <t>Савдо ва маиший хизмат кўрсатиш ҳамда офис</t>
  </si>
  <si>
    <t>ҳттпс://мапс.апп.гоо.гл/РжСхЛМCwедсЖп6ҳ57</t>
  </si>
  <si>
    <t>ҚИСМАН КИРИТИЛДИ</t>
  </si>
  <si>
    <t>Софдил МФЙ</t>
  </si>
  <si>
    <t>Реноватсия 2 қават</t>
  </si>
  <si>
    <t xml:space="preserve"> 4 қаватли Савдо ва маиший ҳизмат кўрсатиш</t>
  </si>
  <si>
    <t>ҳттпс://мапс.апп.гоо.гл/бмНФ2гЛҳГЗWпПҳcй6</t>
  </si>
  <si>
    <t>Зийнат МФЙ</t>
  </si>
  <si>
    <t>Давлат-хусусий шериклик шартлари асосида замонавий маҳалла марказлари бинолар.                                                   Таклиф: Қаватини кўпайтириб “Ренаватсия ҳудуд”га, 5га қават ўзгартириш киритиш.</t>
  </si>
  <si>
    <t>ҳттпс://мапс.апп.гоо.гл/вжзУГқП89Вх3у9cА6</t>
  </si>
  <si>
    <t>Ренавация</t>
  </si>
  <si>
    <t>Консерватсия Яшил ҳудуд 0 қават.</t>
  </si>
  <si>
    <t>Давлат-хусусий шериклик шартлари асосида замонавий маҳалла марказлари бинолар.                                                   Таклиф: Қаватини кўпайтириб “Ренаватсия ҳудуд”га, 5 қаватга ўзгартириш киритиш.</t>
  </si>
  <si>
    <t>ҳттпс://мапс.апп.гоо.гл/ЙЗ3Х3бЙ5CквПт3рЛ7</t>
  </si>
  <si>
    <t>Қо‘ш-қо‘рг‘он МФЙ</t>
  </si>
  <si>
    <t>Аеропорд учун логистика бинолари қуриш учун ажратилга ер</t>
  </si>
  <si>
    <t>ҳттпс://мапс.апп.гоо.гл/Ут5ДП5Қж5Дб7у3КУ7</t>
  </si>
  <si>
    <t>Қут барака  МФЙ</t>
  </si>
  <si>
    <t>Реноватсия, Ривожланиш ҳудуди 9 қават</t>
  </si>
  <si>
    <t>Ҳозирги ҳолат “Ренаватсия ҳудуд” 9 қават берилган 
Таклиф: ер майдони тугалланмаган ва аҳоли учун истиқомат қилиш муҳити тўлиқ яратилмаганлиги  ҳамда бугунги кунда такомиллаштиришга еҳтиёжи бўлганлиги сабабли  қаватини камайтириб ишлаб чиқаришга ўзгртириш</t>
  </si>
  <si>
    <t>Савдо ва маиший ҳизмат кўрсатиш</t>
  </si>
  <si>
    <t>ҳттпс://мапс.апп.гоо.гл/кЕнРфУ92WҳзесҲЕС7</t>
  </si>
  <si>
    <t>Олтин водий МФЙ</t>
  </si>
  <si>
    <t>Реноватсия, Ривожланиш ҳудуди 5 қават.</t>
  </si>
  <si>
    <t>Ренаватсия 12-қават</t>
  </si>
  <si>
    <t>Ҳозирги ҳолат “Ренаватсия ҳудуд” 5 қават берилган
Таклиф: 12-7 қаватгача ўзгартириш киритиш.</t>
  </si>
  <si>
    <t>ҳттпс://мапс.апп.гоо.гл/дСмЖР5аВwгезҚТҳФ7</t>
  </si>
  <si>
    <t>Консерватсия яшил ҳудуд 0-қават</t>
  </si>
  <si>
    <t>Ҳозирги ҳолат “Кансерватсия ҳудуд” 0 қават берилган
Таклиф тадбиркорлик субйекти бўлган ер майдони тугалланган ва аҳоли учун истиқомат қилиш муҳити тўлиқ яратилмаганлиги  ҳамда бугунги кунда такомиллаштиришга еҳтиёжи бўлганлиги сабабли  қаватини кўпайтириб “Ренаватсия ҳудуд”га 16 қават ўзгартириш киритиш.</t>
  </si>
  <si>
    <t>ҳттпс://мапс.апп.гоо.гл/1CС89пқт5еГк6ЛиЗА</t>
  </si>
  <si>
    <t>Хонободтепа МФЙ, Қурувчилар МФЙ</t>
  </si>
  <si>
    <t>Реноватсия 5 қават</t>
  </si>
  <si>
    <t>Ренаватсия 16-қават</t>
  </si>
  <si>
    <t>Ҳозирги ҳолат “Ренаватсия ҳудуд” 5 қават берилган 
Таклиф тугалланган ва аҳоли учун истиқомат қилиш муҳити тўлиқ яратилмаганлиги  ҳамда бугунги кунда такомиллаштиришга еҳтиёжи бўлганлиги сабабли  қаватини кўпайтириб “Ренаватсия ҳудуд”га ўзгартириш киритиш.</t>
  </si>
  <si>
    <t>ҳттпс://мапс.апп.гоо.гл/ЗТД6Рсwо5о3к3гмС6</t>
  </si>
  <si>
    <t>Сугʻдиёна МФЙ</t>
  </si>
  <si>
    <t>Консерватсия, Маъмурий марказлар; Консерватсия, Яшил ҳудуд</t>
  </si>
  <si>
    <t>Ренаватсия 25-қават</t>
  </si>
  <si>
    <t>Ҳозирги ҳолат “Кансерватсия ҳудуд” 0 қават берилган
Таклиф турар жой, бизнес марказ комплексларининг “Ренаватсия  лойиҳаси” ишлаб чиқилганлиги сабабли “Ренаватсия ҳудуд”га ўзгартириш киритиш.</t>
  </si>
  <si>
    <t>ҳттпс://мапс.апп.гоо.гл/БҲК9ГwЛвЖиВБРн8ж6, ҳттпс://мапс.апп.гоо.гл/еw9С5З7ЖувиБвк4c7, ҳттпс://мапс.апп.гоо.гл/бпПcрдг56фТ6нДаЕ7</t>
  </si>
  <si>
    <t xml:space="preserve">Асробод МФЙ, Моний кўчаси </t>
  </si>
  <si>
    <t>Консерватсия Мактаб ҳудуди 0 қават.</t>
  </si>
  <si>
    <t>Ҳозирги ҳолат “Реноватсия ҳудуд” 0 қават берилган
Таклиф: 5 қаватгача ўзгартириш киритиш.</t>
  </si>
  <si>
    <t>ҳттпс://мапс.апп.гоо.гл/қЕкБй462Л7иж8КТБ7</t>
  </si>
  <si>
    <t xml:space="preserve">Қум-Ариқ МФЙ, Адолат кўчаси </t>
  </si>
  <si>
    <t>Реноватсия, Ривожланиш ҳудуди 0 қават.</t>
  </si>
  <si>
    <t>ҳттпс://мапс.апп.гоо.гл/ЗЗтф6wcМбЛ55c8WЛ6</t>
  </si>
  <si>
    <t>Янги Бунёдобод  МФЙ</t>
  </si>
  <si>
    <t>Реноватсия, Савдо ва  тижорат қават-5</t>
  </si>
  <si>
    <t>Ҳозирги ҳолат “Ренаватсия ҳудуд” 5 қават берилган 
Таклиф тугалланмаган ва аҳоли учун истиқомат қилиш муҳити тўлиқ яратилмаганлиги  ҳамда бугунги кунда такомиллаштиришга еҳтиёжи бўлганлиги сабабли  қаватини кўпайтириб “Ренаватсия ҳудуд”га ўзгартириш киритиш.</t>
  </si>
  <si>
    <t>ҳттпс://мапс.апп.гоо.гл/уВф6вжЕк3Спй15Рб9</t>
  </si>
  <si>
    <t>Оʻзгариш МФЙ</t>
  </si>
  <si>
    <t>Консерватсия, Маиший хизмат кўрсатиш</t>
  </si>
  <si>
    <t>Давлат-хусусий шериклик шартлари асосида замонавий маҳалла марказлари бинолар.                                                   Таклиф: Қаватини кўпайтириб “Ренаватсия ҳудуд”га ўзгартириш киритиш.</t>
  </si>
  <si>
    <t>ҳттпс://мапс.апп.гоо.гл/мАмНеа79РАХДЛ4Сз7</t>
  </si>
  <si>
    <t>Саховат МФЙ</t>
  </si>
  <si>
    <t>Консерватсия, Яшил ҳудуд</t>
  </si>
  <si>
    <t>ҳттпс://мапс.апп.гоо.гл/муБМтгГФ6УwТйБПе8</t>
  </si>
  <si>
    <t>Қут-барака МФЙ</t>
  </si>
  <si>
    <t>ҳттпс://мапс.апп.гоо.гл/CБ5фЖунЖхфоcВҲнГ6</t>
  </si>
  <si>
    <t>Қўшқўрғон МФЙ ҳудудидаги бўш ер майдони</t>
  </si>
  <si>
    <t>Консерватсиядан йечиш</t>
  </si>
  <si>
    <t>ҳттпс://мапс.апп.гоо.гл/рйжcЛcфсхҲЕссж1м7</t>
  </si>
  <si>
    <t>Хонбодтепа МФЙ, Хонтепа МФЙ</t>
  </si>
  <si>
    <t>Реноватсия, Ривожланиш ҳудуди, 5 қават</t>
  </si>
  <si>
    <t>16 қаватли турар жой</t>
  </si>
  <si>
    <t>ҳттпс://мапс.апп.гоо.гл/КгПБпвW7ҳгиПРуқи8</t>
  </si>
  <si>
    <t>Хонтепа МФЙ, Хонтепа МФЙ</t>
  </si>
  <si>
    <t>ҳттпс://мапс.апп.гоо.гл/ЗжутХwҲАWВ1йЗоЕЖ7</t>
  </si>
  <si>
    <t>Бенёдобод МФЙ</t>
  </si>
  <si>
    <t>Ҳозирги ҳолат “Реноватсия ҳудуд” 7 қават берилган
Таклиф: 16 қаватгача ўзгартириш киритиш.</t>
  </si>
  <si>
    <t>ҳттпс://мапс.апп.гоо.гл/Лкуба4cННкйпсХcW8</t>
  </si>
  <si>
    <t xml:space="preserve">Жунариқ МФЙ Чоштепа кўчаси 
(Авто йўл нур) </t>
  </si>
  <si>
    <t>Реноватсия, Ривожланиш ҳудуди 7 қават.</t>
  </si>
  <si>
    <t>ҳттпс://мапс.апп.гоо.гл/1БФ87қв3зй8фпГГДА</t>
  </si>
  <si>
    <t xml:space="preserve">Жунариқ МФЙ Чоштепа кўчаси </t>
  </si>
  <si>
    <t>ҳттпс://мапс.апп.гоо.гл/Ваwқ7рҲУ1еа26еWт9</t>
  </si>
  <si>
    <t>Жунариқ МФЙ Чоштепа кўчаси 
(Махалла биноси)</t>
  </si>
  <si>
    <t>ҳттпс://мапс.апп.гоо.гл/1ХХнгеХ3гЙ6К3МC77</t>
  </si>
  <si>
    <t>Жунариқ МФЙ Чоштепа кўчаси 
(Маданият маркази)</t>
  </si>
  <si>
    <t>Ренаватсия 3-қават</t>
  </si>
  <si>
    <t>Ҳозирги ҳолат “Реноватсия ҳудуд” 0 қават берилган
Таклиф: 4 қаватгача ўзгартириш киритиш.</t>
  </si>
  <si>
    <t>ҳттпс://мапс.апп.гоо.гл/хиуПКФКҳнБ7у5РйПА</t>
  </si>
  <si>
    <t>Қумариқ МФЙ 
"Ўрта осиё транс" МЧЖ</t>
  </si>
  <si>
    <t>Ҳозирги ҳолат “Реноватсия ҳудуд” 5 қават берилган
Таклиф: 16 қаватгача ўзгартириш киритиш.</t>
  </si>
  <si>
    <t>ҳттпс://мапс.апп.гоо.гл/ЛВ5дТбРфХЖ7ТА8wг6</t>
  </si>
  <si>
    <t>Нурхаёт МФЙ, Туман СЭС</t>
  </si>
  <si>
    <t>Консерватсия ҳудуди</t>
  </si>
  <si>
    <t>Ренаватсия 9-қават</t>
  </si>
  <si>
    <t>Консерватсиядан ечиш</t>
  </si>
  <si>
    <t>Мамурий</t>
  </si>
  <si>
    <t>ҳттпс://мапс.апп.гоо.гл/ЗСхв3Вc3ргуУузЖҲ7</t>
  </si>
  <si>
    <t>-</t>
  </si>
  <si>
    <t xml:space="preserve">Қўшқўрғон МФЙ Тошиссиқ қуват </t>
  </si>
  <si>
    <t>Реноватсия, Ривожланиш ҳудуди 2 қават.</t>
  </si>
  <si>
    <t>Ренаватсия 8-қават</t>
  </si>
  <si>
    <t>ҳттпс://мапс.апп.гоо.гл/7отуЙУЗСФҳҚC726п6</t>
  </si>
  <si>
    <t>Кўхнақумариқ, Султонобод, Зиёлилар, Эскижалойир МФЙлари</t>
  </si>
  <si>
    <t>Аралаш худуд</t>
  </si>
  <si>
    <t>Ренаватсия 22;30-қават</t>
  </si>
  <si>
    <t>Турар жой кўплексини ташкил этиш</t>
  </si>
  <si>
    <t>https://maps.app.goo.gl/qyEK9Ct11Xo2RtSP7</t>
  </si>
  <si>
    <t>Хабибий МФЙ</t>
  </si>
  <si>
    <t>Реконструкция
4 қават</t>
  </si>
  <si>
    <t>Ренаватсия 13-қават</t>
  </si>
  <si>
    <t>Бизнес маркази ҳамда кўп қаватли автотураргох ташкил этиш</t>
  </si>
  <si>
    <t>https://maps.app.goo.gl/yvcjzEorcMEcUNba8</t>
  </si>
  <si>
    <t xml:space="preserve">Қурувчи МФЙ, </t>
  </si>
  <si>
    <t>Реконструкция
6 қават</t>
  </si>
  <si>
    <t>Кўп квартирали турар жой бинолари хамда хизмат кўрсатиш объектлари (Аукцион)</t>
  </si>
  <si>
    <t>https://maps.app.goo.gl/Cj62GKZ6WrK2Eh8T6</t>
  </si>
  <si>
    <t>Сергели тумани, Учувчилар МФЙ</t>
  </si>
  <si>
    <t>Реконструкция
5 қават</t>
  </si>
  <si>
    <t>Давлат-хусусий шериклик шартлари асосида замонавий маҳалла марказлари бинолар.</t>
  </si>
  <si>
    <t>https://maps.app.goo.gl/Kmqk97rvZPHK1Gju8</t>
  </si>
  <si>
    <t>Сергели тумани, Янги Бунёдобод МФЙ</t>
  </si>
  <si>
    <t>https://maps.app.goo.gl/zCqf8nTdpZawGPpd8</t>
  </si>
  <si>
    <t>Сергели тумани, Софдил МФЙ</t>
  </si>
  <si>
    <t>Реконструкция
2 қават</t>
  </si>
  <si>
    <t>https://maps.app.goo.gl/3kyWmgycid8eFCNw9</t>
  </si>
  <si>
    <t>Сергели тумани, Нўғайқўрғон МФЙ</t>
  </si>
  <si>
    <t>https://maps.app.goo.gl/LzkM7uv9gMdif6oaA</t>
  </si>
  <si>
    <t>Қутбара МФЙ</t>
  </si>
  <si>
    <t>https://maps.app.goo.gl/CMAGfFLdrSagWK28A</t>
  </si>
  <si>
    <t>Ренаватсия 7-қават</t>
  </si>
  <si>
    <t>Хусусий мактаб ташкил этиш</t>
  </si>
  <si>
    <t>https://maps.app.goo.gl/mKkhTNQZLJb47nzk8</t>
  </si>
  <si>
    <t>Янгихаёт</t>
  </si>
  <si>
    <t xml:space="preserve">Чоштепа МФЙ </t>
  </si>
  <si>
    <t>Реновация, 7 қават</t>
  </si>
  <si>
    <t>Реновация, 16 қават</t>
  </si>
  <si>
    <t>Кўп қаватли турар жой комплекси хамда савдо маиший</t>
  </si>
  <si>
    <t>https://maps.app.goo.gl/eGeHCqMN9rKHv9MV7</t>
  </si>
  <si>
    <t xml:space="preserve">Чоштепа МФЙ 
</t>
  </si>
  <si>
    <t xml:space="preserve"> Кўп қаватли турар жой комплекси</t>
  </si>
  <si>
    <t>https://maps.app.goo.gl/ouUejXH1P4zJ6uZj6</t>
  </si>
  <si>
    <t>Янги Дархон МФЙ</t>
  </si>
  <si>
    <t>Реновация, 9 қават</t>
  </si>
  <si>
    <t>Савдо ва маиший ҳизмат кўрсатиш ва бизнес марказлари ҳамда кўп хонадонли турар жой комплекси</t>
  </si>
  <si>
    <t>https://maps.app.goo.gl/n5RbAYPG4a6Sqthy7</t>
  </si>
  <si>
    <t>Гулшанобод МФЙ</t>
  </si>
  <si>
    <t xml:space="preserve">Реновация, 9 қават </t>
  </si>
  <si>
    <t>Реновация, 20 қават</t>
  </si>
  <si>
    <t xml:space="preserve">Савдо ва маиший ҳизмат кўрсатиш ва бизнес марказлари ҳамда  кўп хонадонли турар жой комплекси </t>
  </si>
  <si>
    <t>https://maps.app.goo.gl/PQr7dP8hG8V9tHeM9</t>
  </si>
  <si>
    <t>Реконструкция, 5 қават</t>
  </si>
  <si>
    <t>Реконструкция, 15 қават</t>
  </si>
  <si>
    <t>Кўп қаватли турар жой комплекси ҳамда ижтимоий объектлар</t>
  </si>
  <si>
    <t>https://maps.app.goo.gl/MfTZU68sw3m8h6K97</t>
  </si>
  <si>
    <t>Хушнуд МФЙ</t>
  </si>
  <si>
    <t>Реконструкция 2 қават</t>
  </si>
  <si>
    <t>Реконструкция 16 қават</t>
  </si>
  <si>
    <t>Савдо ва маиший ҳизмат кўрсатиш ҳамда бизнес марказлари</t>
  </si>
  <si>
    <t>https://maps.app.goo.gl/KfWZVVukt3zY88rC8</t>
  </si>
  <si>
    <t>КИРИТИЛМАГАН</t>
  </si>
  <si>
    <t>Реконструкция 5 қават</t>
  </si>
  <si>
    <t>Реконструкция                      9 қават</t>
  </si>
  <si>
    <t xml:space="preserve">Савдо ва маиший ҳизмат кўрсатиш ва бизнес марказлари,                              </t>
  </si>
  <si>
    <t>https://maps.app.goo.gl/eNtw3cXGutDpA8ydA</t>
  </si>
  <si>
    <t xml:space="preserve">Реновация, 7 қават </t>
  </si>
  <si>
    <t xml:space="preserve">Реновация, 16 қават </t>
  </si>
  <si>
    <t>Савдо ва маиший ҳизмат кўрсатиш ва бизнес марказлари ҳамда кўп хонадонли турар жой комплекси, 16 қават</t>
  </si>
  <si>
    <t>https://maps.app.goo.gl/FgkLVUSpzKDeRzAV9</t>
  </si>
  <si>
    <t>Ёрқин ҳаёт МФЙ</t>
  </si>
  <si>
    <t>Реконструкция                    9 қават</t>
  </si>
  <si>
    <t xml:space="preserve">Кўп қаватли турар жой комплекси, </t>
  </si>
  <si>
    <t>https://maps.app.goo.gl/iANSi4oxpr1LogdPA</t>
  </si>
  <si>
    <t>Ал-Фарғоний МФЙ</t>
  </si>
  <si>
    <t>https://maps.app.goo.gl/bThZHRjbYgMusFgy8</t>
  </si>
  <si>
    <t>Чароғон МФЙ</t>
  </si>
  <si>
    <t>Кўп қаватли турар жой комплекси</t>
  </si>
  <si>
    <t>https://maps.app.goo.gl/34eQ3sTfhCMqpeKC9</t>
  </si>
  <si>
    <t>Тошкент МФЙ</t>
  </si>
  <si>
    <t>https://maps.app.goo.gl/VRGvovoz3MVtGvmt6</t>
  </si>
  <si>
    <t xml:space="preserve">Олий таълим муассасалари ташкил этиш, </t>
  </si>
  <si>
    <t>https://maps.app.goo.gl/9j6KT4mHGuX9QiDK6</t>
  </si>
  <si>
    <t>Файзли МФЙ                                          Чортоқ МФЙ</t>
  </si>
  <si>
    <t>Реконструкция 5-7-9 қават</t>
  </si>
  <si>
    <t xml:space="preserve">Савдо ва маиший ҳизмат кўрсатиш ва бизнес марказлари, ижтимоий объектлар ҳамда кўп хонадонли турар жой комплекси </t>
  </si>
  <si>
    <t>https://maps.app.goo.gl/HmfT6oiwhtD2onnD9</t>
  </si>
  <si>
    <t>Янги Гулзор МФЙ</t>
  </si>
  <si>
    <t xml:space="preserve">Реновация, 5 қават </t>
  </si>
  <si>
    <t>https://maps.app.goo.gl/H6KxW8aefNXSCtFK6</t>
  </si>
  <si>
    <t>https://maps.app.goo.gl/e2KGo7tKCwtrv5sE8</t>
  </si>
  <si>
    <t>КИРИТИЛГАН</t>
  </si>
  <si>
    <t>Янгихаёт МФЙ</t>
  </si>
  <si>
    <t>Консервация</t>
  </si>
  <si>
    <t xml:space="preserve">Реновация, 3 қават </t>
  </si>
  <si>
    <t>Савдо ва маиший хизмат кўрсатиш (BOX STREET),                                                                   3 қават</t>
  </si>
  <si>
    <t>https://maps.app.goo.gl/KuY71C7fJb47Tpxv5</t>
  </si>
  <si>
    <t>Машъал МФЙ</t>
  </si>
  <si>
    <t xml:space="preserve">Консервация </t>
  </si>
  <si>
    <t xml:space="preserve">Аукцион савдосида сотилган ер, хусусий мактаб </t>
  </si>
  <si>
    <t>https://maps.app.goo.gl/x6Euzpjqt9Y4mnLKA</t>
  </si>
  <si>
    <t>Чорбоғ МФЙ</t>
  </si>
  <si>
    <t>Маъмурий бинолар</t>
  </si>
  <si>
    <t>https://maps.app.goo.gl/81yY9Bb8msgVMeaz5</t>
  </si>
  <si>
    <t xml:space="preserve">Хусусий мактаб </t>
  </si>
  <si>
    <t>https://maps.app.goo.gl/esLJ8u4Vy5hBw6ax5</t>
  </si>
  <si>
    <t>Файзли МФЙ</t>
  </si>
  <si>
    <t xml:space="preserve">Реновация, 2 қават </t>
  </si>
  <si>
    <t>Ишлаб чиқариш учун мўлжалланган ер майдони</t>
  </si>
  <si>
    <t>Саноат</t>
  </si>
  <si>
    <t>https://maps.app.goo.gl/G1J2FJ7UUL3CCG1aA</t>
  </si>
  <si>
    <t xml:space="preserve">Файзли, Чортоқ, Бинокор МФЙлар оралиғи
(Чирчиқ дарё бўйи) </t>
  </si>
  <si>
    <t>Дарё бўйи дирекцияси</t>
  </si>
  <si>
    <t>https://maps.app.goo.gl/gAMMzL6FWP7MgJV47</t>
  </si>
  <si>
    <t>Хўжа учқун МФЙ</t>
  </si>
  <si>
    <t>Янги Авлод саноат ҳудуди, ҳамда якка тартибдаги турар-жойлар</t>
  </si>
  <si>
    <t>https://maps.app.goo.gl/FMVm5WZLZKajaFod7</t>
  </si>
  <si>
    <t>Чоштепа МФЙ</t>
  </si>
  <si>
    <t>Реновация, 5 қават</t>
  </si>
  <si>
    <t>Реновация 12 қават</t>
  </si>
  <si>
    <t xml:space="preserve">Кўп қаватли турар жой комплекси </t>
  </si>
  <si>
    <t xml:space="preserve">https://maps.app.goo.gl/aTemH8L1m4NmCwAs8 </t>
  </si>
  <si>
    <t>Чортоқ МФЙ</t>
  </si>
  <si>
    <t>Реновация 16 қават</t>
  </si>
  <si>
    <t>Савдо ва маиший ҳизмат кўрсатиш ва бизнес марказлари</t>
  </si>
  <si>
    <t>https://maps.app.goo.gl/R7gDCMcs9iQCb5Qu8</t>
  </si>
  <si>
    <t>Хўжа учқун; Жалойир; Янги Гулзор  МФЙ</t>
  </si>
  <si>
    <t xml:space="preserve">Реновация, 3-5 қават </t>
  </si>
  <si>
    <t>Реновация 5 қават</t>
  </si>
  <si>
    <t xml:space="preserve">Янги Авлод саноат ҳудуди                                                                        </t>
  </si>
  <si>
    <t>https://maps.app.goo.gl/1McmssshHNseQbhN7</t>
  </si>
  <si>
    <t>27*</t>
  </si>
  <si>
    <t xml:space="preserve">Чоштепа МФЙ, Ўзар кўчаси </t>
  </si>
  <si>
    <t>Реконструкция 
(16 қават)</t>
  </si>
  <si>
    <t xml:space="preserve">кўп квартирали уйлар ва хизмат кўрсатиш объектлари </t>
  </si>
  <si>
    <t>https://maps.app.goo.gl/zEy4zuUCitdisyd29</t>
  </si>
  <si>
    <t xml:space="preserve">инвестиция </t>
  </si>
  <si>
    <t>Миробод</t>
  </si>
  <si>
    <t xml:space="preserve">Парвона МФЙ, Фарғона йўли 28-берк кўчаси, 8-уй олдида            </t>
  </si>
  <si>
    <t>Консервация (қаватлар сони 0)</t>
  </si>
  <si>
    <t>Реновация
(2 қаватли )</t>
  </si>
  <si>
    <t>Cавдо ва маиший хизмат кўрсатиш биноси хамда офис</t>
  </si>
  <si>
    <t>https://maps.app.goo.gl/9vjw6sejPau3VZRv7</t>
  </si>
  <si>
    <t xml:space="preserve">Чинор МФЙ, Қўйлиқ 1-дахаси, 24-уй олдида                               </t>
  </si>
  <si>
    <t xml:space="preserve">Реновация                        (16 қаватли ) </t>
  </si>
  <si>
    <t>Кўп хонадонли турар жой          мажмуаси</t>
  </si>
  <si>
    <t>https://maps.app.goo.gl/pEnZesCpA26AY97X6</t>
  </si>
  <si>
    <t xml:space="preserve">Наврўз МФЙ, Саракул 4-берк кўчаси, 3-уй олди              </t>
  </si>
  <si>
    <t xml:space="preserve">Реновация                    
(2 қаватли )                                                     </t>
  </si>
  <si>
    <t>https://maps.app.goo.gl/Z2q24FAKz2W1Hf9j6</t>
  </si>
  <si>
    <t xml:space="preserve">Наврўз МФЙ, Саракул 3-берк кўчаси, 27-уй олди                            </t>
  </si>
  <si>
    <t xml:space="preserve">Реновация 
(2 қаватли )                                                     </t>
  </si>
  <si>
    <t>https://maps.app.goo.gl/yZDxSmhTJTTvRMB8A</t>
  </si>
  <si>
    <t xml:space="preserve">Темирйўлчилар МФЙ, Темирйўлчилар 1-тор кўчаси 9-9а-уй олди </t>
  </si>
  <si>
    <t xml:space="preserve">Реновация
 (2 қаватли )                                                     </t>
  </si>
  <si>
    <t>https://maps.app.goo.gl/LnMi5HUeNva1FMs79</t>
  </si>
  <si>
    <t xml:space="preserve">Олтинкўл МФЙ, А.Фитрат кўчаси 2-уй олдида                          </t>
  </si>
  <si>
    <t xml:space="preserve">Реновация 
 (2 қаватли )                                                     </t>
  </si>
  <si>
    <t>https://maps.app.goo.gl/PAtDEWVbp7vrTGuw7</t>
  </si>
  <si>
    <t>Миробод тумани, Минг Ўрик МФЙ</t>
  </si>
  <si>
    <t>Реконструкция                    
(қаватлар сони 5)</t>
  </si>
  <si>
    <t>Реконструкция       
 (25 қават)</t>
  </si>
  <si>
    <t xml:space="preserve">Савдо мажмуаси хамда Кўп хонадонли турар жой </t>
  </si>
  <si>
    <t>https://maps.app.goo.gl/RXfCmVxvodXdn557A</t>
  </si>
  <si>
    <t>Реконструкция          
 (28 қават)</t>
  </si>
  <si>
    <t>https://maps.app.goo.gl/UzKmfcpUposAy6Mz9</t>
  </si>
  <si>
    <t>Реконструкция         
(30 қават)</t>
  </si>
  <si>
    <t xml:space="preserve">Савдо мажмуаси, мехмонхона хамда Кўп хонадонли турар жой </t>
  </si>
  <si>
    <t>https://maps.app.goo.gl/ARbhcKKx7L9qcQRk6</t>
  </si>
  <si>
    <t>Миробод тумани, Лолозор МФЙ</t>
  </si>
  <si>
    <t>Реконструкция        
 (12 қават)</t>
  </si>
  <si>
    <t>Савдо мажмуаси хамда Кўп хонадонли турар жой</t>
  </si>
  <si>
    <t>https://maps.app.goo.gl/p5o9Er1mUnoGVztK8</t>
  </si>
  <si>
    <t>Реконструкциям          
(28 қават)</t>
  </si>
  <si>
    <t>https://maps.app.goo.gl/UtRiDj5UnKA4qhm98</t>
  </si>
  <si>
    <t>Миробод тумани, Темирйўлчилар МФЙ</t>
  </si>
  <si>
    <t>Реконструкция          
(30 қават)</t>
  </si>
  <si>
    <t xml:space="preserve">Кўп хонадонли турар жой </t>
  </si>
  <si>
    <t>https://maps.app.goo.gl/bcs4wq2Ej8gYkaCVA</t>
  </si>
  <si>
    <t>Миробод тумани, Ойбек МФЙ</t>
  </si>
  <si>
    <t>Реконструкция                                       (қаватлар сони 5)</t>
  </si>
  <si>
    <t>Реконструкция          
(25 қават)</t>
  </si>
  <si>
    <t xml:space="preserve"> Кўп хонадонли турар жой </t>
  </si>
  <si>
    <t>https://maps.app.goo.gl/dGh455kHtQdhDT8U6</t>
  </si>
  <si>
    <t>Миробод тумани, Истиқлолобод МФЙ</t>
  </si>
  <si>
    <t>Реконструкция        
(12 қават)</t>
  </si>
  <si>
    <t>https://maps.app.goo.gl/iMquLAZPdDX1jouP9</t>
  </si>
  <si>
    <t>Миробод тумани, Қорасув МФЙ</t>
  </si>
  <si>
    <t xml:space="preserve">Реноватция                               (қаватлар сони 5) </t>
  </si>
  <si>
    <t>Реконструкция          
(9 қават)</t>
  </si>
  <si>
    <t>Кўп хонадонли турар жой</t>
  </si>
  <si>
    <t>https://maps.app.goo.gl/BLSyjzBbUQLyRyym8</t>
  </si>
  <si>
    <t>Миробод тумани, Файзиобод МФЙ</t>
  </si>
  <si>
    <t>Реноватция                           (қаватлар сони 5)</t>
  </si>
  <si>
    <t>Реконструкция         
(12 қават)</t>
  </si>
  <si>
    <t>https://maps.app.goo.gl/fAotHxAGaWPqJCdz6</t>
  </si>
  <si>
    <t>Миробод тумани, Олтинкўл МФЙ</t>
  </si>
  <si>
    <t>Реконструкция                                      (қаватлар сони 5)</t>
  </si>
  <si>
    <t>https://maps.app.goo.gl/pDoCKq3WAiENr88h8</t>
  </si>
  <si>
    <t>Миробод тумани, Наврўз МФЙ</t>
  </si>
  <si>
    <t>Реконструкция                                   (қаватлар сони 5)</t>
  </si>
  <si>
    <t>Реконструкция          
(10 қават)</t>
  </si>
  <si>
    <t>https://maps.app.goo.gl/SG353t1EvH9SvjBZ9</t>
  </si>
  <si>
    <t>Миробод тумани, Тонг юлдузи МФЙ</t>
  </si>
  <si>
    <t>Реконструкция                            (қаватлар сони 3)</t>
  </si>
  <si>
    <t>https://maps.app.goo.gl/P1gaHPeDkmyuToJB8</t>
  </si>
  <si>
    <t>Консервация                           (қаватлар сони 0)</t>
  </si>
  <si>
    <t>Реновация                   
(5 қават)</t>
  </si>
  <si>
    <t>Замонавий махалла биноси</t>
  </si>
  <si>
    <t>https://maps.app.goo.gl/5UDHJDH5zUZ1CxkN8</t>
  </si>
  <si>
    <t>Миробод тумани, Билимдон МФЙ</t>
  </si>
  <si>
    <t>Реновация                          
 (5 қават)</t>
  </si>
  <si>
    <t xml:space="preserve">Замонавий махалла биноси </t>
  </si>
  <si>
    <t>https://maps.app.goo.gl/spPUgHnEKxU8wpLE6</t>
  </si>
  <si>
    <t>Миробод тумани, Заминобод МФЙ</t>
  </si>
  <si>
    <t>Реновация                  
(5 қават)</t>
  </si>
  <si>
    <t>https://maps.app.goo.gl/fU3Ex2w72PFSrCaj9</t>
  </si>
  <si>
    <t>Миробод тумани, Байналминал МФЙ</t>
  </si>
  <si>
    <t>Консервация                                  (қаватлар сони 0)</t>
  </si>
  <si>
    <t>Реновация                            (5 қават)</t>
  </si>
  <si>
    <t>https://maps.app.goo.gl/fDPDdBZF1v2mhFD36</t>
  </si>
  <si>
    <t>Консервация                               (қаватлар сони 0)</t>
  </si>
  <si>
    <t>Реновация                      
(6 қават)</t>
  </si>
  <si>
    <t>https://maps.app.goo.gl/cURChA6nYwtYRopW7</t>
  </si>
  <si>
    <t>Реновация                 
 (6 қават)</t>
  </si>
  <si>
    <t>https://maps.app.goo.gl/W3M1ED2PAAAwSxUD8</t>
  </si>
  <si>
    <t>Миробод тумани, Зиёнур МФЙ</t>
  </si>
  <si>
    <t>Реновация                  
(4 қават)</t>
  </si>
  <si>
    <t>https://maps.app.goo.gl/jPC8nwoE79HJ8e2H6</t>
  </si>
  <si>
    <t>Реновация                  
(2 қават)</t>
  </si>
  <si>
    <t>https://maps.app.goo.gl/gvy94TS7dehnm3kS8</t>
  </si>
  <si>
    <t>Миробод тумани, Қўйлиқ ота МФЙ</t>
  </si>
  <si>
    <t>Реновация               
(6 қават)</t>
  </si>
  <si>
    <t>https://maps.app.goo.gl/6B4nSaKC7AcuPRkb7</t>
  </si>
  <si>
    <t>Миробод тумани, Афросиёб МФЙ</t>
  </si>
  <si>
    <t>Реконструкция (қаватлар сони 5)</t>
  </si>
  <si>
    <t>Реновация                   
(12 қават)</t>
  </si>
  <si>
    <t>https://maps.app.goo.gl/HLokpQugw1U19BKp9</t>
  </si>
  <si>
    <t>Реновация              
(24 қават)</t>
  </si>
  <si>
    <t>https://maps.app.goo.gl/e6Xj1sw6ah97gjyq5</t>
  </si>
  <si>
    <t>Миробод тумани, Салар МФЙ</t>
  </si>
  <si>
    <t>Реконструкция                                     (қаватлар сони 9)</t>
  </si>
  <si>
    <t>Реновация                         18 қават</t>
  </si>
  <si>
    <t>https://maps.app.goo.gl/MpTReuCLDZoVAsFd6</t>
  </si>
  <si>
    <t>Реновация                    
12 қават</t>
  </si>
  <si>
    <t>https://maps.app.goo.gl/vj9D8QuPoSZyMSur6</t>
  </si>
  <si>
    <t>Миробод тумани, Янгизамон МФЙ</t>
  </si>
  <si>
    <t>Реконструкция                                        (қаватлар сони 5)</t>
  </si>
  <si>
    <t>Реновация                   
 12 қават</t>
  </si>
  <si>
    <t>https://maps.app.goo.gl/v5dk7q1VV843kcJ68</t>
  </si>
  <si>
    <t>Миробод тумани, А.Фитрат МФЙ</t>
  </si>
  <si>
    <t>Реконструкция                                         (қаватлар сони 2)</t>
  </si>
  <si>
    <t>Реновация                  
16 қават</t>
  </si>
  <si>
    <t>https://maps.app.goo.gl/kqNFgvXZJ3rYHuKA8</t>
  </si>
  <si>
    <t>Миробод тумани, Юксалиш МФЙ</t>
  </si>
  <si>
    <t>Реконструкция                                             (қаватлар сони 5)</t>
  </si>
  <si>
    <t>Реновация              
   9 қават</t>
  </si>
  <si>
    <t>https://maps.app.goo.gl/f4pYVP8tdC6LMrWFA</t>
  </si>
  <si>
    <t>Миробод тумани, 
Байналминал МФЙ</t>
  </si>
  <si>
    <t>Консервация,                                                   ( қаватлар сони 0 )</t>
  </si>
  <si>
    <t>Реновация                  
 16 қават</t>
  </si>
  <si>
    <t>https://maps.app.goo.gl/ibMgoVVhH1QhQD7s8</t>
  </si>
  <si>
    <t>Миробод тумани, Ш.Рашидов МФЙ</t>
  </si>
  <si>
    <t>Консервация,                                                                ( қаватлар сони 0 )</t>
  </si>
  <si>
    <t>Реновация                  
 25 қават</t>
  </si>
  <si>
    <t>https://maps.app.goo.gl/mMs6xtfCKEqgrzUU6</t>
  </si>
  <si>
    <t>Миробод тумани, Байналминал МФЙ, Мироншох кўчаси</t>
  </si>
  <si>
    <t>Реконструкция 
(қаватлар сони 5)</t>
  </si>
  <si>
    <t>Реновация                 
16 қават</t>
  </si>
  <si>
    <t>https://maps.app.goo.gl/SQTwy32BDL7u6Qqt6</t>
  </si>
  <si>
    <t>Миробод тумани, Ойбек МФЙ, С.Барака кўчаси</t>
  </si>
  <si>
    <t>Реноватция
(қаватлар сони 5)</t>
  </si>
  <si>
    <t>Реновация                    
 30 қават</t>
  </si>
  <si>
    <t>https://www.google.com/maps/@41.2970106,69.2830822,319m/data=!3m1!1e3?entry=ttu&amp;g_ep=EgoyMDI1MDQwMi4xIKXMDSoASAFQAw%3D%3D</t>
  </si>
  <si>
    <t>Миробод тумани, Янги Миробод МФЙ, Нукус, Ойбек ва КХАЙ кўчалари оралиғи</t>
  </si>
  <si>
    <t>Реноватция, 
(қаватлар сони 20)</t>
  </si>
  <si>
    <t>Реновация                    
 40 қават</t>
  </si>
  <si>
    <t>https://www.google.com/maps/@41.2882074,69.2777336,593m/data=!3m1!1e3?entry=ttu&amp;g_ep=EgoyMDI1MDQwMi4xIKXMDSoASAFQAw%3D%3D</t>
  </si>
  <si>
    <t>Миробод тумани, Шароф Рашидов МФЙ, Ислом Каримов кўчаси</t>
  </si>
  <si>
    <t>Реноватция
(25 қават)</t>
  </si>
  <si>
    <t>Реноватция
(53 қават)</t>
  </si>
  <si>
    <t>Савдо, хизмат кщрсатиш, офис мажмуаси хамда Кўп хонадонли турар жой</t>
  </si>
  <si>
    <t>https://www.google.com/maps/@41.3070858,69.2766757,358m/data=!3m1!1e3?entry=ttu&amp;g_ep=EgoyMDI1MDUxMy4xIKXMDSoASAFQAw%3D%3D</t>
  </si>
  <si>
    <t>25 қават</t>
  </si>
  <si>
    <t>https://maps.app.goo.gl/dj3nxh8ZEVhiiYZx8</t>
  </si>
  <si>
    <t>Реконструкция 
(қаватлар сони 9)</t>
  </si>
  <si>
    <t>https://maps.app.goo.gl/JRY9wPzaevYgiMYe6</t>
  </si>
  <si>
    <t>14 қават</t>
  </si>
  <si>
    <t>https://maps.app.goo.gl/YAsxkHT9hCgJBhFr5</t>
  </si>
  <si>
    <t>Реноватция
(қаватлар сони 7)</t>
  </si>
  <si>
    <t>16 қават</t>
  </si>
  <si>
    <t>https://maps.app.goo.gl/KgsPjMRjnEYYtoEy7</t>
  </si>
  <si>
    <t>Миробод тумани, Иноқобод МФЙ</t>
  </si>
  <si>
    <t>Реноватция
(қаватлар сони 9)</t>
  </si>
  <si>
    <t>https://maps.app.goo.gl/G4k1dqDjAWZyeu6w5</t>
  </si>
  <si>
    <t>Реконструкция 
(қаватлар сони 3)</t>
  </si>
  <si>
    <t>12 қават</t>
  </si>
  <si>
    <t>https://maps.app.goo.gl/kZ9fBLP1QV3jz2Kr7</t>
  </si>
  <si>
    <t>Миробод тумани, Қўйлиқота МФЙ</t>
  </si>
  <si>
    <t>https://maps.app.goo.gl/cTwt6NBCBhNckG3e7</t>
  </si>
  <si>
    <t>49*</t>
  </si>
  <si>
    <t xml:space="preserve">Миробод </t>
  </si>
  <si>
    <t>Янгизамон кўчаси</t>
  </si>
  <si>
    <t>реконструкция 
(16 қават)</t>
  </si>
  <si>
    <t xml:space="preserve">кўп квартирали турар жойлар, хизмат кўрсатиш объектлари, коллеж биноси </t>
  </si>
  <si>
    <t xml:space="preserve">https://maps.app.goo.gl/gyg2Z2Hx4NvkeRWbA </t>
  </si>
  <si>
    <t>Яшнобод</t>
  </si>
  <si>
    <t>Яшнобод тумани,Куксарой-Қадрият МФЙ, Чиғил кўчаси</t>
  </si>
  <si>
    <t>Консервация (0 қават)</t>
  </si>
  <si>
    <t>Реконструкция 
(3 қават)</t>
  </si>
  <si>
    <t>Ошхоналар, Кафелар, Савдо уйлари (3 қават)</t>
  </si>
  <si>
    <t>https://maps.app.goo.gl/nbhcKipjwHwRjhm99</t>
  </si>
  <si>
    <t xml:space="preserve">киритилган </t>
  </si>
  <si>
    <t>Яшнобод тумани,
 Моҳирлар МФЙ,</t>
  </si>
  <si>
    <t>Реновация қисман қизил чизиқ (5 қават)</t>
  </si>
  <si>
    <t>Реновация
(5 қават)</t>
  </si>
  <si>
    <t>Пастги қаватларида савдо ва маиший хизмат кўрсатиш бўлган кўп ҳонадонли турар жой бинолари</t>
  </si>
  <si>
    <t>https://maps.app.goo.gl/jH1r3LQUR3BXWRhF7</t>
  </si>
  <si>
    <t>Яшнобод тумани,Уччинор МФЙ, Янги Ҳайот 1-тор кўчаси, Янги мактаб олдида</t>
  </si>
  <si>
    <t>Реновация ,қисман қизил чизиқ (5 қават)</t>
  </si>
  <si>
    <t>Реновация 
(5 қават)</t>
  </si>
  <si>
    <t>Умумтаълим мактаби ва мактабгача таълим</t>
  </si>
  <si>
    <t>https://maps.app.goo.gl/GVS4kgAm36YcDP3i9</t>
  </si>
  <si>
    <t>киритилмаган</t>
  </si>
  <si>
    <t>Яшнобод тумани,Тонг МФЙ, 
2-тузел мавзеси,</t>
  </si>
  <si>
    <t>Консервация(0 қават)</t>
  </si>
  <si>
    <t>Реконструкция 
(5 қават)</t>
  </si>
  <si>
    <t>Ошхоналар, Кафелар, Савдо уйлари (5 қават)</t>
  </si>
  <si>
    <t>https://maps.app.goo.gl/NcqLEs4NHfa9a7GX7</t>
  </si>
  <si>
    <t>Яшнобод тумани, Бойқурғон МФЙ</t>
  </si>
  <si>
    <t>Реконструкция  (3 қават)</t>
  </si>
  <si>
    <t>Реновация 
(16 қават)</t>
  </si>
  <si>
    <t>https://maps.app.goo.gl/otRPyiZWWoibBKPm9</t>
  </si>
  <si>
    <t xml:space="preserve">Яшнобод тумани, Фидойилар ва Чўлпон МФЙлари </t>
  </si>
  <si>
    <t>Реконструкция (5 қават) ва  Реновация  (7 қават)</t>
  </si>
  <si>
    <t>https://maps.app.goo.gl/YrkUQFkfzr6qo3PY7</t>
  </si>
  <si>
    <t>Яшнобод тумани,Маьрифат ва Журабек МФЙ,</t>
  </si>
  <si>
    <t>Реновация, Реконструкция Консервация қисман қизил чизик (7-3-0 қават)</t>
  </si>
  <si>
    <t>https://maps.app.goo.gl/Cso64DkL5hFTnkEv5</t>
  </si>
  <si>
    <t xml:space="preserve">Яшнобод тумани,Жарқурғон  МФЙ </t>
  </si>
  <si>
    <t>Реконструкция (5 қават)</t>
  </si>
  <si>
    <t>https://maps.app.goo.gl/KqQJMEs8fv54oiiL7</t>
  </si>
  <si>
    <t xml:space="preserve">Яшнобод тумани,Янги Давр МФЙ </t>
  </si>
  <si>
    <t>Реконструкция (3 қават)</t>
  </si>
  <si>
    <t>https://maps.app.goo.gl/usmBDwKCaRtz1fsr6</t>
  </si>
  <si>
    <t xml:space="preserve">Яшнобод тумани,Мумтоз МФЙ </t>
  </si>
  <si>
    <t>Реновация (7 қават)</t>
  </si>
  <si>
    <t>https://maps.app.goo.gl/sJo9KUT8R1bgevsN6</t>
  </si>
  <si>
    <t>Яшнобод тумани,Кўксарой Қадрият МФЙ</t>
  </si>
  <si>
    <t>Реконструкция  (4 қават)</t>
  </si>
  <si>
    <t>https://maps.app.goo.gl/1VVFftVHXJ7BhQg26</t>
  </si>
  <si>
    <t>Яшнобод тумани,Алимкент МФЙ</t>
  </si>
  <si>
    <t>Реконструкция (4 қават)</t>
  </si>
  <si>
    <t>https://maps.app.goo.gl/CFqDDZCKzwUuZC8KA</t>
  </si>
  <si>
    <t>Яшнобод тумани, Парвоз МФЙ, Бешариқ, Авиасозлар ва Бирлашган 6-тор кўчалари туташмаси</t>
  </si>
  <si>
    <t xml:space="preserve"> савдо мажмуоси (16 қават)</t>
  </si>
  <si>
    <t>https://maps.app.goo.gl/hD3quTEQYFP9V2hs8</t>
  </si>
  <si>
    <t>Яшнобод тумани, Гўзал  МФЙ, Оҳангарон шох кўчаси</t>
  </si>
  <si>
    <t>Реконструкция (7 қават)</t>
  </si>
  <si>
    <t>Кўп хонадонли турар жой (16 қават)</t>
  </si>
  <si>
    <t>https://maps.app.goo.gl/M8y6kSPAh3Mg7zua8</t>
  </si>
  <si>
    <t>Яшнобод тумани, Илтифот МФЙ</t>
  </si>
  <si>
    <t>https://maps.app.goo.gl/cUPfLq9iDqhSCf9P8</t>
  </si>
  <si>
    <t>Яшнобод тумани,Қалқон МФЙ</t>
  </si>
  <si>
    <t>https://maps.app.goo.gl/fM9QvaGgR4Xygtr38</t>
  </si>
  <si>
    <t>Яшнобод тумани, Чўлпон МФЙ,  Маҳтумқули кучаси, юл ёқасида</t>
  </si>
  <si>
    <t>Реконструкция (10 қават)</t>
  </si>
  <si>
    <t>Реконструкция 
(23 қават)</t>
  </si>
  <si>
    <t>Биринчи 4 каватида савдо ва кунгилочар комплекс, 5 каватида банк, юкори каватларида эса, офис ва квартиралар куриш</t>
  </si>
  <si>
    <t>https://maps.app.goo.gl/ateNLUb4UQyLC3Wc9</t>
  </si>
  <si>
    <t>Яшнобод тумани, Дўстобод МФЙ, Қорасув кўчаси</t>
  </si>
  <si>
    <t>Реновация (5 қават)</t>
  </si>
  <si>
    <t>Ҳокимят биноси</t>
  </si>
  <si>
    <t>https://maps.app.goo.gl/UbXwdcJP8bvYeFji6</t>
  </si>
  <si>
    <t>Яшнобод тумани, Дўстобод МФЙ, Маҳтумқули кучаси, юл йоқасида</t>
  </si>
  <si>
    <t>Реконструкция ,Реновацтия ва Консервация (9-5-7 қават)</t>
  </si>
  <si>
    <t>https://maps.app.goo.gl/hUqYR3YDa78Wgeo2A</t>
  </si>
  <si>
    <t xml:space="preserve">Яшнобод тумани, Моҳирлар МФЙ, Янги Узбекистон Шох кўчаси </t>
  </si>
  <si>
    <t>Реконструкция 
(4 қават)</t>
  </si>
  <si>
    <t>Уз архив (4 қават)</t>
  </si>
  <si>
    <t>https://maps.app.goo.gl/DTFgkyumWikH2M9i8</t>
  </si>
  <si>
    <t xml:space="preserve">Яшнобод тумани,Тузел МФЙ, Темирчи кўчаси </t>
  </si>
  <si>
    <t>https://maps.app.goo.gl/jruPBrDiuUQZAMMv7</t>
  </si>
  <si>
    <t xml:space="preserve">Яшнобод тумани,Тонг МФЙ, </t>
  </si>
  <si>
    <t>5 қават Ахоли яшаш худуди</t>
  </si>
  <si>
    <t>https://maps.app.goo.gl/7S8zuYW5JSxQTRVS9</t>
  </si>
  <si>
    <t>Реконструкция (9 қават)</t>
  </si>
  <si>
    <t>Реконструкция 
(33 қават)</t>
  </si>
  <si>
    <t>Кўп хонадонли турар жой ва Савдо мажмуаси</t>
  </si>
  <si>
    <t>https://maps.app.goo.gl/TreUQ448qVLdAtMD6</t>
  </si>
  <si>
    <t>Яшнобод тумани Маърифат МФЙ.</t>
  </si>
  <si>
    <t>https://maps.app.goo.gl/egQC8TkumSCngaNW8</t>
  </si>
  <si>
    <t>Яшнобод тумани, Ширинобод МФЙ, Уш ва Бойсун 2-берк кўчалари</t>
  </si>
  <si>
    <t>https://maps.app.goo.gl/oApCsyEQNiSgv1Q19</t>
  </si>
  <si>
    <t>“Мухтор Ашрафий ва Бешбола” МФЙлари</t>
  </si>
  <si>
    <t>https://maps.app.goo.gl/xfJxsFJZNnCqRU7AA</t>
  </si>
  <si>
    <t xml:space="preserve">Яшнобод тумани Бойқўрғон МФЙ,  </t>
  </si>
  <si>
    <t>Реконструкция 
(12 қават)</t>
  </si>
  <si>
    <t xml:space="preserve">Савдо маиший ва мехмонхона </t>
  </si>
  <si>
    <t>Мехмонхона</t>
  </si>
  <si>
    <t>https://maps.app.goo.gl/QZNvLUg1boW6GBF19</t>
  </si>
  <si>
    <t xml:space="preserve">Яшнобод тумани Тузел МФЙ, </t>
  </si>
  <si>
    <t>Кўп хонадонли турар жой ва савдо-хизмат кўрсатиш объектлари</t>
  </si>
  <si>
    <t>https://maps.app.goo.gl/fVCuDSLXWvTK9zsz8</t>
  </si>
  <si>
    <t>Яшнобод тумани, Янгиқурғон МФЙ,</t>
  </si>
  <si>
    <t>Реновация (5-7 қават)</t>
  </si>
  <si>
    <t>https://maps.app.goo.gl/V25MAZp8gU8BYoVy7,     https://maps.app.goo.gl/niQxgZ6aQhxbQuQFA</t>
  </si>
  <si>
    <t>Яшнобод тумани, Янги давр МФЙ,</t>
  </si>
  <si>
    <t>Реновация қисман консервация  (0-5 қават)</t>
  </si>
  <si>
    <t>https://maps.app.goo.gl/z8LwmJGK17g8jbQd6</t>
  </si>
  <si>
    <t>Яшнобод тумани,Амир Темур МФЙ,</t>
  </si>
  <si>
    <t>https://maps.app.goo.gl/9nwesEf9Hu9qmhUNA</t>
  </si>
  <si>
    <t>Яшнобод тумани, Фазогир МФЙ,</t>
  </si>
  <si>
    <t>https://maps.app.goo.gl/rAK5GsGiDASWBCxt6</t>
  </si>
  <si>
    <t>Яшнобод тумани, Алимкент МФЙ, Авиасозлар 1-даҳаси  26А-уй  ,</t>
  </si>
  <si>
    <t>5 қаватли махалла биноси</t>
  </si>
  <si>
    <t>https://maps.app.goo.gl/mGKAHMyxmFDgPgsM7</t>
  </si>
  <si>
    <t>Яшнобод тумани, Авиасозлар МФЙ, Авиасозлар 3-даҳаси  16А-уй  ,</t>
  </si>
  <si>
    <t>https://maps.app.goo.gl/GQpDs5wh6jVynUdG7</t>
  </si>
  <si>
    <t>Яшнобод тумани, Жўрабек МФЙ</t>
  </si>
  <si>
    <t>Реконструкция (16 қават)</t>
  </si>
  <si>
    <t>Кўп қаватли турар жой мажмуаси</t>
  </si>
  <si>
    <t>https://maps.app.goo.gl/PnEoQQge4fjj5TYVA</t>
  </si>
  <si>
    <t>Яшнобод тумани, Бунёдкор МФЙ, Фарғона йўли кўчаси бўйи</t>
  </si>
  <si>
    <t>Реновация (16 қават)</t>
  </si>
  <si>
    <t>Кўп квартирали турар жой ва савдо-хизмат кўрсатиш объектлари</t>
  </si>
  <si>
    <t>https://maps.app.goo.gl/wQtbDHyPcaQ8spEz8</t>
  </si>
  <si>
    <t>Яшнобод тумани, Мумтоз МФЙ, Фарғона йўли кўчаси бўйи</t>
  </si>
  <si>
    <t>https://maps.app.goo.gl/MWxtoHmvm3PYXoFw9</t>
  </si>
  <si>
    <t>Яшнобод тумани, Қўйлиқобод МФЙ, Фарғона йўли кўчаси бўйи</t>
  </si>
  <si>
    <t>https://maps.app.goo.gl/bG5SAfuSNFfn5EHR8</t>
  </si>
  <si>
    <t>Яшнобод тумани, Катта Қўйлиқ МФЙ, Фарғона йўли кўчаси бўйи</t>
  </si>
  <si>
    <t>Кўп квартирали турар жой ва савдо-хизмат кўрсатиш объектлари
(12 қават)</t>
  </si>
  <si>
    <t>https://maps.app.goo.gl/X6EP6yUJKpFupfwB6</t>
  </si>
  <si>
    <t>Яшнобод тумани, Янгиқшрғон МФЙ, ТХАЙ бўйи</t>
  </si>
  <si>
    <t>Реновация (2 қават)</t>
  </si>
  <si>
    <t>Кўп квартирали турар жой ва савдо-хизмат кўрсатиш объектлари
(16 қават)</t>
  </si>
  <si>
    <t>https://maps.app.goo.gl/UVXbWjvDfCZnzs1n6</t>
  </si>
  <si>
    <t>Яшнобод тумани, Қуйлиқобод МФЙ</t>
  </si>
  <si>
    <t>Кўп квартирали турар жой ҳамда савдо маиший хизмат объектлари</t>
  </si>
  <si>
    <t>https://maps.app.goo.gl/GumL7oigCL3vetQHA</t>
  </si>
  <si>
    <t>42*</t>
  </si>
  <si>
    <t xml:space="preserve">Яшнобод тумани, Чўлпон МФЙ, </t>
  </si>
  <si>
    <t>Реновация ва Консервация  (5-0 қават)</t>
  </si>
  <si>
    <t xml:space="preserve">https://maps.app.goo.gl/XnMVuieWdTta5ANF8 </t>
  </si>
  <si>
    <t>Чилонзор</t>
  </si>
  <si>
    <t xml:space="preserve">Бешёғоч МФЙ 
Фурқат кўчаси </t>
  </si>
  <si>
    <t>Реконструкция
9 қават</t>
  </si>
  <si>
    <t>Реконструкция 
(30 қават)</t>
  </si>
  <si>
    <t>Кўп қаватли турар жойлар бизнес маркази ташкил этиш, 30 қават</t>
  </si>
  <si>
    <t>https://maps.app.goo.gl/FFSccpWicHjagc64A</t>
  </si>
  <si>
    <t xml:space="preserve">Киритилган            </t>
  </si>
  <si>
    <t>Кўп қаватли турар жойлар бизнес маркази ташкил этиш,</t>
  </si>
  <si>
    <t>Бешёғоч МФЙ
 Сеул кўчаси</t>
  </si>
  <si>
    <t>Реновация                                            12 қават</t>
  </si>
  <si>
    <t>Реновация (35қават)</t>
  </si>
  <si>
    <t>“Ritz carlton” бренди остида 5 юлдузли меҳмонхона фаолиятини ташкил этиш, 30 қават</t>
  </si>
  <si>
    <t>https://maps.app.goo.gl/GC3AbFjG3PPzCy6f7</t>
  </si>
  <si>
    <t>1-Чарх Комолон МФЙ
1-тўпик Чилонзор кўчаси</t>
  </si>
  <si>
    <t>Реновация 9 қават</t>
  </si>
  <si>
    <t>Реновация (100-75 қават)</t>
  </si>
  <si>
    <t>Истиқболли реновация лойиҳаси, 
75 қават</t>
  </si>
  <si>
    <t>https://maps.app.goo.gl/ZTkupPD5cVctM8uW8</t>
  </si>
  <si>
    <t>1-Чарх Камолон
Новза кўчаси</t>
  </si>
  <si>
    <t>Реконструкция 
5 қават</t>
  </si>
  <si>
    <t>Истиқболли реновация лойиҳаси, 
16 қават</t>
  </si>
  <si>
    <t>https://maps.app.goo.gl/FRYSD9RpYXryy2nk9</t>
  </si>
  <si>
    <t>Чилонзор МФЙ, Новза кўчаси</t>
  </si>
  <si>
    <t>Реновация 
9 қават</t>
  </si>
  <si>
    <t>Замонавий кўп квартирали турар-жой мажмуасини барпо этиш</t>
  </si>
  <si>
    <t>https://maps.app.goo.gl/LK3yoHtEgrXx76ua6</t>
  </si>
  <si>
    <t>2-Чарх Камолон
Бунёдкор шох кўчаси</t>
  </si>
  <si>
    <t>Реконструкция, 
8 қават</t>
  </si>
  <si>
    <t>Реновация                       (12 қават)</t>
  </si>
  <si>
    <t xml:space="preserve">Истиқболли реновация лойиҳаси, </t>
  </si>
  <si>
    <t>https://maps.app.goo.gl/M3S6zANYLnUAfNdt8</t>
  </si>
  <si>
    <t>Бешчинор МФЙ</t>
  </si>
  <si>
    <t>Реконструкция, бир қисми 0 қават, қолгани 2 қават</t>
  </si>
  <si>
    <t>ДХШ асосида маҳалла идораси ҳамда хизмат кўрсатиш марказини ташкил этиш, 5 қават</t>
  </si>
  <si>
    <t>https://maps.app.goo.gl/PNuoR9jDsper49Tx6</t>
  </si>
  <si>
    <t xml:space="preserve">Бешчинор МФЙ, Қатортол кучаси 46-уй </t>
  </si>
  <si>
    <t>Реконструкция
(9 қават)</t>
  </si>
  <si>
    <t>Олий талим
муассаси</t>
  </si>
  <si>
    <t>https://maps.app.goo.gl/REo2JJqJrgTLCCWH9</t>
  </si>
  <si>
    <t>Кўркам МФЙ, Муқимий кўчаси, 43-уй</t>
  </si>
  <si>
    <t>Реконструкция
(10 қават)</t>
  </si>
  <si>
    <t>https://maps.app.goo.gl/GjmLPNXGaNo87keE8</t>
  </si>
  <si>
    <t>1-Қатортол МФЙ
1-Қатортол кўчаси</t>
  </si>
  <si>
    <t>Реконструкция
(12қават)</t>
  </si>
  <si>
    <t xml:space="preserve"> ДХШ асосида 7-сонли туғруқ комплекси ўрнида кўптармоқли клиника ташкил этиш</t>
  </si>
  <si>
    <t>Тиббиёт</t>
  </si>
  <si>
    <t>https://maps.app.goo.gl/sJkZHCkihvaV1YUC8</t>
  </si>
  <si>
    <t xml:space="preserve">Қатортол-1 МФЙ </t>
  </si>
  <si>
    <t>Реконструкция 
9, 10 ва 7 қават</t>
  </si>
  <si>
    <t xml:space="preserve">Истиқболли реконструкция лойиҳаси </t>
  </si>
  <si>
    <t>https://maps.app.goo.gl/SvDWydiPAFziGzqq5</t>
  </si>
  <si>
    <t>Нафосат МФЙ</t>
  </si>
  <si>
    <t>Реконструкция
0 қават</t>
  </si>
  <si>
    <t>https://maps.app.goo.gl/t7mkcEffC14tXcC88</t>
  </si>
  <si>
    <t>Диёр МФЙ, Лутфий кўчаси</t>
  </si>
  <si>
    <t>Консервация
5 қават</t>
  </si>
  <si>
    <t>https://www.google.com/maps/@41.2947577,69.2013138,284m/data=!3m1!1e3?entry=ttu&amp;g_ep=EgoyMDI1MDQwMi4xIKXMDSoASAFQAw%3D%3D</t>
  </si>
  <si>
    <t xml:space="preserve">Лутфий МФЙ, 
Лутфий кўчаси </t>
  </si>
  <si>
    <t>Реконструкция, 
7 ва 9 қават</t>
  </si>
  <si>
    <t>Реновация                         (30 қават)</t>
  </si>
  <si>
    <t>Истиқболли реновация лойиҳаси, 
30 қават</t>
  </si>
  <si>
    <t>https://maps.app.goo.gl/rWi42as4XPoZP8KGA</t>
  </si>
  <si>
    <t xml:space="preserve">Лутфий МФЙ </t>
  </si>
  <si>
    <t>Реконструкция 
7 қават</t>
  </si>
  <si>
    <t>Реконструкция
(30-16 қават)</t>
  </si>
  <si>
    <t xml:space="preserve">Истиқболли реконструкция лойиҳаси, </t>
  </si>
  <si>
    <t>https://maps.app.goo.gl/ARhvwFeCic6UzUGB6</t>
  </si>
  <si>
    <t>Чўпонота МФЙ, Лутфий кўчаси</t>
  </si>
  <si>
    <t>Реновация
5 қават</t>
  </si>
  <si>
    <t>Реновация
16 қават</t>
  </si>
  <si>
    <t>Кўп қаватли мехмонхона ва бизнес маркази қуриш</t>
  </si>
  <si>
    <t>https://maps.app.goo.gl/EXoSRRCcwAx3c6N99</t>
  </si>
  <si>
    <t>Навбахор МФЙ</t>
  </si>
  <si>
    <t>Реконструкция 
(28 қават)</t>
  </si>
  <si>
    <t>https://maps.app.goo.gl/Xeuzxf5XtmCyRhir8</t>
  </si>
  <si>
    <t>Қозиробод МФЙ
Бунёдкор кўчаси</t>
  </si>
  <si>
    <t>Реновация (32 қават)</t>
  </si>
  <si>
    <t>Замонавий турар жойлар ва бизнес маркази ташкил этиш, 
32 қават</t>
  </si>
  <si>
    <t>https://maps.app.goo.gl/i31gZFJ174rD6h6X8</t>
  </si>
  <si>
    <t xml:space="preserve">Чилонзор тумани Бунёдкор кўчаси 1/1-уй </t>
  </si>
  <si>
    <t xml:space="preserve"> Реконструкция 
(30 қават)</t>
  </si>
  <si>
    <t>кўп қаватли аппартамент ҳамда ишбилармонлик маркази</t>
  </si>
  <si>
    <t>https://maps.app.goo.gl/yVeNtDwXGDk6gGDC8</t>
  </si>
  <si>
    <t>Катта Чилонзор-3</t>
  </si>
  <si>
    <t>Истиқболли реновация лойиҳаси, 
12қават</t>
  </si>
  <si>
    <t>https://maps.app.goo.gl/Rzmzfs1kVMD2WuNFA</t>
  </si>
  <si>
    <t>Катта Чилонзор-1 МФЙ</t>
  </si>
  <si>
    <t>Реновация
9 қават</t>
  </si>
  <si>
    <t>Реновация                        (16 қават)</t>
  </si>
  <si>
    <t>Кўп қаватли турар жой ва хихмат кўрсатиш объектлари</t>
  </si>
  <si>
    <t>https://www.google.com/maps/place/41%C2%B016'53.3%22N+69%C2%B013'52.9%22E/@41.2816832,69.2304044,438m/data=!3m1!1e3!4m4!3m3!8m2!3d41.281475!4d69.231371?entry=ttu&amp;g_ep=EgoyMDI1MDMxMC4wIKXMDSoASAFQAw%3D%3D</t>
  </si>
  <si>
    <t xml:space="preserve">2-Катта Чилонзор МФЙ     </t>
  </si>
  <si>
    <t>Реконструкция 
(28-12 қават)</t>
  </si>
  <si>
    <t xml:space="preserve">Кўп қаватли меҳмонхона ва бизнес маркази ташкил этиш, 
</t>
  </si>
  <si>
    <t>https://maps.app.goo.gl/DZvY8YwrzP16KPMP7</t>
  </si>
  <si>
    <t>Катта Қозиробод МФЙ ва Қозиробод МФЙ
Арнасой кўчаси</t>
  </si>
  <si>
    <t>Реновация 7 қават</t>
  </si>
  <si>
    <t>https://maps.app.goo.gl/JayBVMQRb5e3aZ7Q6</t>
  </si>
  <si>
    <t>Катта Қозиробод МФЙ
Чилонзор кўчаси</t>
  </si>
  <si>
    <t>Реконструкция
7 қават</t>
  </si>
  <si>
    <t xml:space="preserve">https://maps.app.goo.gl/FvEAZ88mernSpR5e9
</t>
  </si>
  <si>
    <t xml:space="preserve">Наққошлик МФЙ, Наккошлик кўчаси </t>
  </si>
  <si>
    <t>https://maps.app.goo.gl/GwwQd1UpQrfq7h9N6</t>
  </si>
  <si>
    <t xml:space="preserve">Катта Дўмбиробод МФЙ, Усмур 1 тор кўчаси </t>
  </si>
  <si>
    <t>Реновация                  (16 қават)</t>
  </si>
  <si>
    <t>Истиқболли реновация лойиҳаси, 
9 қават</t>
  </si>
  <si>
    <t>https://maps.app.goo.gl/9XEkYsd2da8bicjFA</t>
  </si>
  <si>
    <t>Дўмбиробод МФЙ</t>
  </si>
  <si>
    <t>Бир қисми консервация, бир қисми реконструкция 2 қават</t>
  </si>
  <si>
    <t>Реконструкция 
(10 қават)</t>
  </si>
  <si>
    <t>Истиқболли реновация лойиҳаси, 
10 қават</t>
  </si>
  <si>
    <t>https://maps.app.goo.gl/9ntSAMCgYuRVtzwp6</t>
  </si>
  <si>
    <t xml:space="preserve">Тирсакобод МФЙ, Харбий шахарча  </t>
  </si>
  <si>
    <t>Реновация
7 қават</t>
  </si>
  <si>
    <t>Реновация
(22-16 қават)</t>
  </si>
  <si>
    <t>Кўп қаватли турар жой ва савдо-хизмат кўрсатиш объектлари</t>
  </si>
  <si>
    <t>https://www.google.com/maps/place/41%C2%B015'23.6%22N+69%C2%B012'39.4%22E/@41.2564018,69.2094614,426m/data=!3m1!1e3!4m4!3m3!8m2!3d41.256545!4d69.210954?entry=ttu&amp;g_ep=EgoyMDI1MDMxMS4wIKXMDSoASAFQAw%3D%3D</t>
  </si>
  <si>
    <t>Мевазор, Яккабоғ МФЙлар</t>
  </si>
  <si>
    <t>Реновация                        (12 қават)</t>
  </si>
  <si>
    <t>Истиқболли реконструкция лойиҳаси</t>
  </si>
  <si>
    <t>https://maps.app.goo.gl/fiWFv2hrdoVsNAJq9</t>
  </si>
  <si>
    <t>Мевазор МФЙ</t>
  </si>
  <si>
    <t>Реконструкция 
0 қават</t>
  </si>
  <si>
    <t>ДХШ асосида маҳалла идораси ҳамда хизмат кўрсатиш марказини ташкил этиш</t>
  </si>
  <si>
    <t>https://maps.app.goo.gl/ParSFtEQzuo4MavF9</t>
  </si>
  <si>
    <t>Яккабоғ МФЙ</t>
  </si>
  <si>
    <t>Реновация                                     7 қават</t>
  </si>
  <si>
    <t>Қурилиши бошланган турар жой комлекси</t>
  </si>
  <si>
    <t>https://maps.app.goo.gl/k4ca5DMgroXR1HuP8</t>
  </si>
  <si>
    <t>Кичик Хирмонтепа МФЙ
Заргарлик кўчаси</t>
  </si>
  <si>
    <t>Реконструкция, 
0 қават</t>
  </si>
  <si>
    <t>Гараж 
ва автотураргоҳлар негизида давлат-хусусий шериклик асосида мавжуд автотранспорт учун жойларни камида икки баравар ошириш шарти билан кўп қаватли автотураргоҳ ва нотурар жойлар ташкил этиш, 
5 қават</t>
  </si>
  <si>
    <t>Автотурарғох</t>
  </si>
  <si>
    <t>https://maps.app.goo.gl/SDAZDjTN7fTBfZrk9</t>
  </si>
  <si>
    <t>Шарқ МФЙ
Гулистон-7 кўчаси</t>
  </si>
  <si>
    <t>https://maps.app.goo.gl/2gnfCU9uVysJ3FPN7</t>
  </si>
  <si>
    <t>Бектўпи МФЙ</t>
  </si>
  <si>
    <t>Реновация 
7 ва 0 қават</t>
  </si>
  <si>
    <t xml:space="preserve">Истиқболли реновация лойиҳаси, 
</t>
  </si>
  <si>
    <t>https://maps.app.goo.gl/uSXofBDSbuHoD2U67</t>
  </si>
  <si>
    <t>Ал-Хоразмий МФЙ
Пойгох кўчаси</t>
  </si>
  <si>
    <t xml:space="preserve">https://maps.app.goo.gl/22E8dsKcT4MeQ5EP8 </t>
  </si>
  <si>
    <t>Бешқўрғон МФЙ
Бунёдкор кўчаси</t>
  </si>
  <si>
    <t xml:space="preserve"> Реновация
(9 қават)</t>
  </si>
  <si>
    <t>Марказий Ипподром ҳудудини реконструкция қилиш ва замонавий савдо ва кўнгилочар мажмуасини барпо этиш, 9 қават</t>
  </si>
  <si>
    <t>https://maps.app.goo.gl/W2eAKrjcVyNSueRv6</t>
  </si>
  <si>
    <t>Енгил автомобиллар учун кўп қаватли автотураргоҳ қуриш, 
4 қават</t>
  </si>
  <si>
    <t>https://maps.app.goo.gl/bQnjGQu96bKLGWwH7</t>
  </si>
  <si>
    <t>Бешқўрғон маҳалласи</t>
  </si>
  <si>
    <t>Мактабгача таълим муассасасини қуриш, 4 қават</t>
  </si>
  <si>
    <t>https://maps.app.goo.gl/qKVwWrJMhf2fqiGF7</t>
  </si>
  <si>
    <t>40*</t>
  </si>
  <si>
    <t>Бешёғоч МФЙ, Сеул кўчаси</t>
  </si>
  <si>
    <t xml:space="preserve">Меҳмонхона ва апартамент бинолари </t>
  </si>
  <si>
    <t xml:space="preserve">https://maps.app.goo.gl/QB2yah3L8pGPSiVd9 </t>
  </si>
  <si>
    <t>41*</t>
  </si>
  <si>
    <t xml:space="preserve">Бобур кўчаси </t>
  </si>
  <si>
    <t>реконструкция 
(10 қават)</t>
  </si>
  <si>
    <t>меҳмонхона ва хизмат кўрсатиш объектлари</t>
  </si>
  <si>
    <t xml:space="preserve">https://maps.app.goo.gl/cdTBpxq7NL8m98zW9 </t>
  </si>
  <si>
    <t>Юнусобод</t>
  </si>
  <si>
    <t>Юнусобод тумани, Отчопар МФЙ Янги шаҳар кўчаси, Yunusobod Business City</t>
  </si>
  <si>
    <t xml:space="preserve">Савдо маиший кўп хонадонли турар жой ва бизнес марказлар                </t>
  </si>
  <si>
    <t xml:space="preserve">https://yandex.uz/maps/10335/tashkent/hybrid/?ll=69.311990%2C41.359126&amp;z=17 </t>
  </si>
  <si>
    <t>Юнусобод тумани, Қадрдон МФЙ, Янги Шахар ва Янги Юнусобод кўчаси худуди</t>
  </si>
  <si>
    <t>Реконструкция, Аралаш фойдаланиш
(қаватлар сони 5)</t>
  </si>
  <si>
    <t xml:space="preserve">Савдо маиший кўп хонадонли турар жой ва бизнес марказлар                     </t>
  </si>
  <si>
    <t xml:space="preserve">https://yandex.uz/maps/10335/tashkent/hybrid/?ll=69.308771%2C41.364617&amp;z=16 </t>
  </si>
  <si>
    <t>Юнусобод тумани, Боғибўстон МФЙ, Боғишамол ва Янги Шахар кесишмасида</t>
  </si>
  <si>
    <t>Реновация, Аралаш фойдаланиш (қаватлар сони 5)</t>
  </si>
  <si>
    <t xml:space="preserve">https://yandex.uz/maps/10335/tashkent/hybrid/?ll=69.318945%2C41.349017&amp;z=17 </t>
  </si>
  <si>
    <t xml:space="preserve">Юнусобод тумани, Обод МФЙ, Наманган ва Юқори салар кўчалари ўртасидаги ҳудуд </t>
  </si>
  <si>
    <t>Реконструкци, Аралаш фойдаланиш (қаватлар сони 2)</t>
  </si>
  <si>
    <t xml:space="preserve">https://yandex.uz/maps/10335/tashkent/hybrid/?ll=69.333705%2C41.358166&amp;z=18 </t>
  </si>
  <si>
    <t xml:space="preserve">Юнусобод тумани, Обод МФЙ,  Наманган  кўчаласи 6 ва 9 уйлар орасидаги ҳудуд манзилида  "OGNEUPOR" МЧЖ худуди </t>
  </si>
  <si>
    <t>Консервация ҳудуди</t>
  </si>
  <si>
    <t xml:space="preserve">https://yandex.uz/maps/10335/tashkent/hybrid/?ll=69.326176%2C41.353369&amp;z=16 </t>
  </si>
  <si>
    <t xml:space="preserve">Реновация </t>
  </si>
  <si>
    <t>Юнусобод тумани, Посира МФЙ,  Боғишамол кўчаси,  Ташгрес микрорайонидаги 16,17,18,19-уйлар 2 қаватли авария уйлар ҳудуди</t>
  </si>
  <si>
    <t>Реконструкция, Ахоли яшаш жойи (қаватлар сони 5)</t>
  </si>
  <si>
    <t>Реновация 
(9 қават)</t>
  </si>
  <si>
    <t xml:space="preserve">https://yandex.uz/maps/10335/tashkent/hybrid/?ll=69.340750%2C41.355139&amp;z=16 </t>
  </si>
  <si>
    <t>Юнусобод тумани, Шарқ ҳақиқати, Катта Хасанбой, Хасанбой ва Исломобод МФЙлар ҳудуди ТХАЙ кўчаси бўйи ҳудуди</t>
  </si>
  <si>
    <t>Реконструкция, Ахоли яшаш жойи (қаватлар сони 2)</t>
  </si>
  <si>
    <t>Реконструкция 
(9 қават)</t>
  </si>
  <si>
    <t xml:space="preserve"> Мехмонхона, Савдо маиший кўп хонадонли турар жой ва бизнес марказлар </t>
  </si>
  <si>
    <t xml:space="preserve">https://yandex.uz/maps/10335/tashkent/hybrid/?ll=69.260504%2C41.391931&amp;z=15 </t>
  </si>
  <si>
    <t xml:space="preserve">Юнусобод тумани, Ҳамкоробод МФЙ, Хасанбой  ески мусорка худуди </t>
  </si>
  <si>
    <t xml:space="preserve">Ишлаб чиқариш цехлари, логистика, ҳамда подстанция </t>
  </si>
  <si>
    <t xml:space="preserve">https://yandex.uz/maps/10335/tashkent/hybrid/?ll=69.244594%2C41.384276&amp;z=17 </t>
  </si>
  <si>
    <t xml:space="preserve">Бир қисми ўзгартиришга киритилди қолган қисми консервацияда қолди </t>
  </si>
  <si>
    <t xml:space="preserve">Юнусобод тумани, Туркистон МФЙ, Иссиқлиқ 4 маркази ёнидаги манзил худуди </t>
  </si>
  <si>
    <t xml:space="preserve">Ҳудудда когенерация газопоршенли иссиқлик станцияси қурилиши учун ажратилган. Бундан ташқари ҳудудда нотурар объектлар ишлаб чиқариш цехлари бор.  </t>
  </si>
  <si>
    <t>Иссиқлик станцияси</t>
  </si>
  <si>
    <t xml:space="preserve">https://yandex.uz/maps/10335/tashkent/hybrid/?ll=69.257726%2C41.372737&amp;z=16 </t>
  </si>
  <si>
    <t xml:space="preserve">Бир қисми ўзгартиришга киритилди қолган қисми консервацияда қолди қабул қилинмади </t>
  </si>
  <si>
    <t xml:space="preserve">Юнусобод тумани, Шайх Шивлий МФЙ, А.Темур, Боғишамол, Шуҳрат ва Шивлий кўчалари орасидаги ҳудуд манзил худуди </t>
  </si>
  <si>
    <t>Реновация, Аралаш фойдаланиш                      (қаватлар сони 9-12)</t>
  </si>
  <si>
    <t>https://yandex.uz/maps/10335/tashkent/hybrid/?ll=69.288810%2C41.338134&amp;z=17</t>
  </si>
  <si>
    <t xml:space="preserve">Юнусобод тумани, Буюк турон МФЙ, Шарофобод, В. Малясова ва Ниёзбек йўли кўчасидаги  "Zhongwang ConStruction" ХК томонидан реновация амалга ошириши мўлжалланган манзил худуди </t>
  </si>
  <si>
    <t>Реконструкция, Аралаш фойдаланиш                      (қаватлар сони 9)</t>
  </si>
  <si>
    <t>Реновация 
(24 қават)</t>
  </si>
  <si>
    <t xml:space="preserve">https://yandex.uz/maps/10335/tashkent/hybrid/?ll=69.288068%2C41.324292&amp;z=18 </t>
  </si>
  <si>
    <t xml:space="preserve">Юнусобод тумани, Буюк турон МФЙ, Шарофобод, Ниёзбек йўли А.Темур ва А. Қодирий кўчалари орасидаги манзил худуди </t>
  </si>
  <si>
    <t>Реновация, Аралаш фойдаланиш                      (қаватлар сони 8)</t>
  </si>
  <si>
    <t xml:space="preserve">Савдо маиший кўп хонадонли турар жой ва бизнес марказлар </t>
  </si>
  <si>
    <t xml:space="preserve">https://yandex.uz/maps/10335/tashkent/hybrid/?ll=69.285766%2C41.322444&amp;z=18 </t>
  </si>
  <si>
    <t xml:space="preserve">Юнусобод тумани, Қашқар  МФЙ, А.Навоий  кўчаси 13 уй манзил худуди </t>
  </si>
  <si>
    <t>Реновация, Аралаш фойдаланиш                      
(қаватлар сони 7)</t>
  </si>
  <si>
    <t>Реновация 
(12 қават)</t>
  </si>
  <si>
    <t>https://yandex.uz/maps/10335/tashkent/hybrid/?ll=69.274990%2C41.318961&amp;z=19</t>
  </si>
  <si>
    <t xml:space="preserve">Юнусобод тумани, Шайх Шивлий МФЙ, КХАЙ, Ч.Айтматов, Шуҳрат ва Шивлий кўчалари орасидаги ҳудуд манзил худуди </t>
  </si>
  <si>
    <t>Концервация, 
(қаватлар сони 0)</t>
  </si>
  <si>
    <t>Реновация 
(16- қават)</t>
  </si>
  <si>
    <t xml:space="preserve">Нотурар жойлар  ва лойоиҳа амалга ошираётган Биофарм Плюс МЧЖ  </t>
  </si>
  <si>
    <t xml:space="preserve">https://yandex.uz/maps/10335/tashkent/hybrid/?ll=69.291560%2C41.334356&amp;z=18 </t>
  </si>
  <si>
    <t>Юнусобод тумани, Туркқўрғон МФЙ КХАЙ кўчаси бўйидаги ҳудуд</t>
  </si>
  <si>
    <t>Реновация, Аралаш фойдаланиш                     
 (қаватлар сони 2)</t>
  </si>
  <si>
    <t>Реновация 
(5  қават)</t>
  </si>
  <si>
    <t xml:space="preserve">https://yandex.uz/maps/10335/tashkent/hybrid/?ll=69.272007%2C41.341467&amp;z=17 </t>
  </si>
  <si>
    <t xml:space="preserve">Юнусобод тумани, Гайратий МФЙ, шаҳристон кўчаси ,                    манзилида жойлашган худуд </t>
  </si>
  <si>
    <t>Концервация, (қаватлар сони 0)</t>
  </si>
  <si>
    <t xml:space="preserve">https://yandex.uz/maps/10335/tashkent/hybrid/?ll=69.273858%2C41.354679&amp;z=18 </t>
  </si>
  <si>
    <t xml:space="preserve">Юнусобод тумани, Астробод МФЙ,  Моқўрғон ва Бинкат кўчалари кесишмасидаги АҚШ элчихонаси жойлашган худуд </t>
  </si>
  <si>
    <t xml:space="preserve">https://yandex.uz/maps/10335/tashkent/hybrid/?ll=69.274206%2C41.367218&amp;z=18 </t>
  </si>
  <si>
    <t xml:space="preserve">Юнусобод тумани, Бўзсув МФЙ,  Боғишамол кўчаси бўйичадги Монетни двор олдидаги ҳудуд                 </t>
  </si>
  <si>
    <t>Реновация, Аралаш фойдаланиш                      (қаватлар сони 2)</t>
  </si>
  <si>
    <t xml:space="preserve">https://yandex.uz/maps/10335/tashkent/hybrid/?ll=69.302071%2C41.343023&amp;z=18 </t>
  </si>
  <si>
    <t xml:space="preserve">Юнусобод тумани, Отчопар1, Юнусобод ва Акбаробод МФЙ, А. Темур кўчаси бўйидаги ҳудуд               </t>
  </si>
  <si>
    <t>Реновация, Аралаш фойдаланиш                      (қаватлар сони 2-5)</t>
  </si>
  <si>
    <t xml:space="preserve">https://yandex.uz/maps/10335/tashkent/hybrid/?ll=69.301122%2C41.357592&amp;z=16 </t>
  </si>
  <si>
    <t xml:space="preserve">Юнусобод тумани, Боғишамол ва Акбаробод  МФЙ, Юнуосбод деҳқон бозори ва Универсам савдо мажмуаси жойлашган ҳудуд                </t>
  </si>
  <si>
    <t>Концервация, (қаватлар сони 5-9)</t>
  </si>
  <si>
    <t xml:space="preserve">Савдо маиший кўп хонадонли турар жой Мехмонхона ва бизнес марказлар ва Замонавий бозор </t>
  </si>
  <si>
    <t xml:space="preserve">https://yandex.uz/maps/10335/tashkent/hybrid/?ll=69.291950%2C41.365608&amp;z=17 </t>
  </si>
  <si>
    <t xml:space="preserve">Юнусобод тумани,Буюк Турон МФЙ, Ниёзбек йўли ва Ч.Айтматов кўчалари кесишмасидаги ҳудуд манзили худудида                </t>
  </si>
  <si>
    <t>Реконструкция, Аралаш фойдаланиш                      (қаватлар сони 5)</t>
  </si>
  <si>
    <t xml:space="preserve">https://yandex.uz/maps/10335/tashkent/hybrid/?ll=69.293351%2C41.325023&amp;z=18 </t>
  </si>
  <si>
    <t>Юнусобод тумани, Ҳиёбонтепа МФЙ,  Боғишамол кўчаси бўйидаги Тату ески ётоқхонаси ҳудудида ГЧП амалга оширилаётган лойиҳа</t>
  </si>
  <si>
    <t>Реновация, Аралаш фойдаланиш                      (қаватлар сони 5)</t>
  </si>
  <si>
    <t xml:space="preserve">Савдо маиший кўп хонадонли турар жой Мехмонхона ва бизнес марказлар  </t>
  </si>
  <si>
    <t>https://yandex.uz/maps/10335/tashkent/hybrid/?ll=69.290842%2C41.340645&amp;z=18</t>
  </si>
  <si>
    <t>Юнусобод тумани, Минор МФЙ, КХАЙ ва Шароф Рашидов кўчалари кесишувида</t>
  </si>
  <si>
    <t>Реконструкция, Аралаш фойдаланиш                   
(қаватлар сони 5)</t>
  </si>
  <si>
    <t>Ўқув биноси</t>
  </si>
  <si>
    <t xml:space="preserve">https://yandex.uz/maps/10335/tashkent/hybrid/?ll=69.281045%2C41.333138&amp;z=18 </t>
  </si>
  <si>
    <t>Юнусобод тумани, Минор МФЙ, КХАЙ кўчасида</t>
  </si>
  <si>
    <t>Реконструкция, Аралаш фойдаланиш                   
(қаватлар сони 9)</t>
  </si>
  <si>
    <t xml:space="preserve">Савдо маиший кўп хонадонли турар жой Мехмонхона ва бизнес марказлар </t>
  </si>
  <si>
    <t xml:space="preserve">https://yandex.uz/maps/10335/tashkent/hybrid/?ll=69.279636%2C41.335977&amp;z=19 </t>
  </si>
  <si>
    <t>Реновация, Аралаш фойдаланиш                   
(қаватлар сони 7)</t>
  </si>
  <si>
    <t>Савдо маиший кўп хонадонли турар жой Мехмонхона ва бизнес марказлар</t>
  </si>
  <si>
    <t xml:space="preserve">https://yandex.uz/maps/10335/tashkent/hybrid/?ll=69.277835%2C41.334595&amp;z=18 </t>
  </si>
  <si>
    <t>Юнусобод тумани, Мирзо Улуғбек МФЙ, КХАЙ кўчаси</t>
  </si>
  <si>
    <t>Реконструкция, Аралаш фойдаланиш                   (қаватлар сони 5-8)</t>
  </si>
  <si>
    <t>https://yandex.uz/maps/10335/tashkent/?ll=69.304449%2C41.332467&amp;z=15.43</t>
  </si>
  <si>
    <t>Юнусобод тумани,
Ахилобод  МФЙ</t>
  </si>
  <si>
    <t>Реконструкция ҳужужи
(қаватлар сони 5)</t>
  </si>
  <si>
    <t>https://www.google.com/maps/@41.3688901,69.2990285,276m/data=!3m1!1e3?entry=ttu&amp;g_ep=EgoyMDI1MDMwOC4wIKXMDSoASAFQAw%3D%3D</t>
  </si>
  <si>
    <t>Юнусобод тумани,
Минор  МФЙ, Амир Темур шох кўчаси</t>
  </si>
  <si>
    <t xml:space="preserve">Реконструкция
 (қаватлар сони 5) </t>
  </si>
  <si>
    <t>Реконструкция 
(11-27 қават)</t>
  </si>
  <si>
    <t>Кўп квартирали турар жой ва савдо-хизмат
кўрсатиш объектлари</t>
  </si>
  <si>
    <t>https://www.google.com/maps/@41.3317043,69.2825519,368m/data=!3m1!1e3?entry=ttu&amp;g_ep=EgoyMDI1MDQwMi4xIKXMDSoASAFQAw%3D%3D</t>
  </si>
  <si>
    <t>Юнусобод тумани,
Обод МФЙ, Дўрмон йўли ва Боғишамол кўчалари оралиғи</t>
  </si>
  <si>
    <t xml:space="preserve">Реконструкция
 (қаватлар сони 2) </t>
  </si>
  <si>
    <t xml:space="preserve">Кўп квартирали турар жой ва савдо-хизмат
кўрсатиш объектлари
</t>
  </si>
  <si>
    <t>https://www.google.com/maps/@41.3496673,69.3237738,348m/data=!3m1!1e3?entry=ttu&amp;g_ep=EgoyMDI1MDUxMy4xIKXMDSoASAFQAw%3D%3D</t>
  </si>
  <si>
    <t>Шайхонтоҳур</t>
  </si>
  <si>
    <t xml:space="preserve">"Олим Хўжаев" МФЙ, </t>
  </si>
  <si>
    <t>Реконструкция
(18-26 қават)</t>
  </si>
  <si>
    <t>Кўп хонадонли турар жой, савдо-маиший ва ижтимоий хизмат кўрсатиш обектлари</t>
  </si>
  <si>
    <t>https://maps.app.goo.gl/4mfQsKZ8FfX5FGQJ7</t>
  </si>
  <si>
    <t>"Чорсу" МФЙ, А.Навоий ва Беруний кўчалар кесишувида</t>
  </si>
  <si>
    <t>Консервация (0 қават)
Реконструкция (20 қават)</t>
  </si>
  <si>
    <t>Реконструкция
(29 қават)</t>
  </si>
  <si>
    <t>Савдо-маиший хизмат кўрсатиш ва мехмонхона обектлари</t>
  </si>
  <si>
    <t>https://maps.app.goo.gl/kg56L4zvqJZWurfG7</t>
  </si>
  <si>
    <t>"Лабзак" МФЙ</t>
  </si>
  <si>
    <t>Реконструкция (5 қават)
Консервация (0 қават)</t>
  </si>
  <si>
    <t>Реновация
(25 қават)</t>
  </si>
  <si>
    <t>https://maps.app.goo.gl/QsFM1HwevJcQ5HBYA</t>
  </si>
  <si>
    <t>"Ўрда" МФЙ, Ботир Зокиров кўчаси</t>
  </si>
  <si>
    <t>Реконструкция
(56 қават)</t>
  </si>
  <si>
    <t>Бизнес марказ, офис ва савдо-маиший хизмат кўрсатиш обектлари</t>
  </si>
  <si>
    <t>https://maps.app.goo.gl/99EfRymPJFLWSiCbA</t>
  </si>
  <si>
    <t>"Ўқчи" МФЙ, Тошкент ситй ҳудуди</t>
  </si>
  <si>
    <t>Реконструкция
(58 қават)</t>
  </si>
  <si>
    <t>https://maps.app.goo.gl/SjVYxkGNaW8eqFtr5</t>
  </si>
  <si>
    <t>"Оқлон", "Олим Хожаев" МФЙ, Бўзсув канал бўйи</t>
  </si>
  <si>
    <t>Кўп хонадонли турар жой ва савдо-маиший хизмат кўрсатиш обектлари</t>
  </si>
  <si>
    <t>https://maps.app.goo.gl/RMkQVDRmMwxkHEaR8</t>
  </si>
  <si>
    <t>"Янги Белтепа" МФЙ, 316-сонли мактаб ҳудуди</t>
  </si>
  <si>
    <t>Консервация
(0 қават)</t>
  </si>
  <si>
    <t>Ҳусусий болалар боғчаси</t>
  </si>
  <si>
    <t>https://maps.app.goo.gl/MzZro2pkog5raGCWA</t>
  </si>
  <si>
    <t>"Шодлик" МФЙ, 376-сонли мактаб ҳудуди</t>
  </si>
  <si>
    <t>https://maps.app.goo.gl/HiWfUBdMLSuqP8HP8</t>
  </si>
  <si>
    <t>"Ибн Сино" МФЙ, 262-сонли мактаб ҳудуди</t>
  </si>
  <si>
    <t>https://maps.app.goo.gl/J6BDQvY8z6ttvjtJ6</t>
  </si>
  <si>
    <t>"Катта Жарариқ" МФЙ, 320-сонли мактаб ҳудуди</t>
  </si>
  <si>
    <t>https://maps.app.goo.gl/iSbSWdkPJ59gq3pG8</t>
  </si>
  <si>
    <t>"Тинчлик " МФЙ, 92-сонли мактаб ҳудуди</t>
  </si>
  <si>
    <t>https://maps.app.goo.gl/LVyZscvWjBR2MLrUA</t>
  </si>
  <si>
    <t>"Олим Хужаев" МФЙ, 157-сонли мактаб ҳудуди</t>
  </si>
  <si>
    <t>https://maps.app.goo.gl/FoqTtURhdgrECFJk9</t>
  </si>
  <si>
    <t>"Чархновза" МФЙ, 295-сонли мактаб ҳудуди</t>
  </si>
  <si>
    <t>https://maps.app.goo.gl/frxcFGfpAAUWWJqH8</t>
  </si>
  <si>
    <t>"Ипакчи" МФЙ, Ипакчи кўчаси</t>
  </si>
  <si>
    <t>Савдо-маиший хизмат кўрсатиш обектлари</t>
  </si>
  <si>
    <t xml:space="preserve">https://maps.app.goo.gl/trEHDNLj5BbmbAo67 </t>
  </si>
  <si>
    <t>Реконструкция
(5 қават)</t>
  </si>
  <si>
    <t>https://maps.app.goo.gl/yxUza9swBC2MNff58</t>
  </si>
  <si>
    <t>"Шодлик" МФЙ, Белтепа кўчаси</t>
  </si>
  <si>
    <t>https://maps.app.goo.gl/Yv3Nf5CRVp86AEkg6</t>
  </si>
  <si>
    <t>"Ибн Сино" МФЙ, ТХАЙ ва Кўксарой кўчалари кесишуви</t>
  </si>
  <si>
    <t>https://maps.app.goo.gl/T2sRMShAX3pRSS3v7</t>
  </si>
  <si>
    <t>"Жарариқ" МФЙ, Тошкўча кўчаси</t>
  </si>
  <si>
    <t>Реновация
(2 қават)</t>
  </si>
  <si>
    <t>Ижтимоий хизмат кўрсатиш обектлари</t>
  </si>
  <si>
    <t>https://maps.app.goo.gl/ZUYgHEbAPtJC3kH68</t>
  </si>
  <si>
    <t>"Янги Шаҳар" МФЙ, Нурафшон кўчаси</t>
  </si>
  <si>
    <t>https://maps.app.goo.gl/E4fP7uRatnfeiCMj7</t>
  </si>
  <si>
    <t>"Каттаховуз", "Сузукота", "С.Дарвоза", "Олим Хужаев", "Зангиота", "Эшонгузар", "Каттабоғ", "Камолон" ва "Оқлон" МФЙ ҳудудлари</t>
  </si>
  <si>
    <t>https://maps.app.goo.gl/TtpSFEJbGxEWdL3d8</t>
  </si>
  <si>
    <t>"Катта Оқтепа" МФЙ, Нурафшон кўчаси</t>
  </si>
  <si>
    <t>https://maps.app.goo.gl/dhYjwxEtQPDNTCGr6</t>
  </si>
  <si>
    <t>"Камолон Дарвоза" МФЙ, Бунёдкор кўчаси</t>
  </si>
  <si>
    <t>Реновация
(18 қават)</t>
  </si>
  <si>
    <t>https://maps.app.goo.gl/SqfDXWHZYqNb7TEa9</t>
  </si>
  <si>
    <t>"Чақар" МФЙ, Қоратош кўчаси</t>
  </si>
  <si>
    <t>https://maps.app.goo.gl/d7reHe4xFeB5yGQ28</t>
  </si>
  <si>
    <t>"Гулбозор" МФЙ, Чорсу бозори</t>
  </si>
  <si>
    <t>https://maps.app.goo.gl/NLZvQg7G6aKC5yqU8</t>
  </si>
  <si>
    <t>"Кохота" МФЙ</t>
  </si>
  <si>
    <t>https://maps.app.goo.gl/kTJaJ5mhSqXRUPyn7</t>
  </si>
  <si>
    <t>"Тахтапул", "Лабзак" МФЙ, ҳудудларида</t>
  </si>
  <si>
    <t>https://maps.app.goo.gl/REBoVfUYfYfc7goc9</t>
  </si>
  <si>
    <t xml:space="preserve"> "Тахтапул" МФЙ</t>
  </si>
  <si>
    <t>Реновация  (7 қават)</t>
  </si>
  <si>
    <t xml:space="preserve">https://maps.app.goo.gl/6hNFTtpReAw3rFiy7 </t>
  </si>
  <si>
    <t>Фаробий кўчаси</t>
  </si>
  <si>
    <t>Реконструкция (2 қават)</t>
  </si>
  <si>
    <t>Офис ва савдо-маиший хизмат кўрсатиш обектлари</t>
  </si>
  <si>
    <t>https://maps.app.goo.gl/GGUon4CGaNfXXmgF8</t>
  </si>
  <si>
    <t>"Шодлик" МФЙ, ТХАЙ ва Зангиота кўчалари кесишуви</t>
  </si>
  <si>
    <t>https://maps.app.goo.gl/Xu4erVdT9vXThRm6A</t>
  </si>
  <si>
    <t>Бозсув каннали</t>
  </si>
  <si>
    <t>https://maps.app.goo.gl/TL1H6Ztm1j7HqNHaA</t>
  </si>
  <si>
    <t>"Катта Оқтепа" МФЙ</t>
  </si>
  <si>
    <t>https://maps.app.goo.gl/CvYKaJYUocSff3T66</t>
  </si>
  <si>
    <t>"Самарқанд Дарвоза" МФЙ</t>
  </si>
  <si>
    <t>https://maps.app.goo.gl/g2ddULptXAYLJWeZA</t>
  </si>
  <si>
    <t>"Сархумдон" МФЙ, Лайлитўғон кўчаси</t>
  </si>
  <si>
    <t>https://maps.app.goo.gl/gF35daLcTyRWwB6i7</t>
  </si>
  <si>
    <t>"Хадра" МФЙ, А.Қодирий боғи</t>
  </si>
  <si>
    <t>Давлат дастури асосида реконструкция ишлари амалга ошириш</t>
  </si>
  <si>
    <t>https://maps.app.goo.gl/LRuN7eU3FyDpm2f26</t>
  </si>
  <si>
    <t>"Тахтапул" МФЙ, С.Хужаев кўчаси</t>
  </si>
  <si>
    <t xml:space="preserve">https://maps.app.goo.gl/ZN4suWpS1Ve8zxaH9 </t>
  </si>
  <si>
    <t>Реновация
(4 қават)</t>
  </si>
  <si>
    <t>https://maps.app.goo.gl/urBB5hagmudEJWpM6</t>
  </si>
  <si>
    <t>"Олмазор" МФЙ, Тошкент ситй ҳудуди</t>
  </si>
  <si>
    <t>Реконструкция
(8 қават)</t>
  </si>
  <si>
    <t>https://maps.app.goo.gl/VqfNstxquWpGHjUk6</t>
  </si>
  <si>
    <t>38*</t>
  </si>
  <si>
    <t>Ўқчи кўчаси "Ташкент сити" ҳудуди</t>
  </si>
  <si>
    <t>реконструкция 
(22 қават)</t>
  </si>
  <si>
    <t xml:space="preserve">https://maps.app.goo.gl/K3DaVbcnc5mMdRQNA </t>
  </si>
  <si>
    <t xml:space="preserve">Мирзо Улуғбек </t>
  </si>
  <si>
    <t>Мирзо Улуғбек тумани, Буюк Ипак Йўли МФЙ, Сайрам  ва Мирзо Улуғбек кўчаларида жойлашган</t>
  </si>
  <si>
    <t>Реконструкция                          
(5 қават )</t>
  </si>
  <si>
    <t>Кўп хонадонли турар жой мажмуаси ва Мактабгача таълим муассасаси</t>
  </si>
  <si>
    <t>https://maps.app.goo.gl/rGkCmsZ23R7SL3yz6</t>
  </si>
  <si>
    <t>Мирзо Улуғбек тумани, Янги Олмачи ҳамда Олмачи МФЙ, Мирзо Улуғбек ва Муҳаммад Юсуф кўчалари оралиғида  жойлашган</t>
  </si>
  <si>
    <t>Реконструкция                         
(2-5 қават )</t>
  </si>
  <si>
    <t>Пастки қаватлари нотурар жой бўлган кўп хонадонли турар жой мажмуаси</t>
  </si>
  <si>
    <t>https://maps.app.goo.gl/PcZm2JXZsuRHpHdPA</t>
  </si>
  <si>
    <t>Мирзо Улуғбек тумани, Подшобоғ ҳамда Олмачи МФЙ, Муҳаммад Юсуф кўчаси бўйида жойлашган</t>
  </si>
  <si>
    <t>Реконструкция                         
(2 қават)</t>
  </si>
  <si>
    <t>Пастки қаватлари нотурар жой бўлган кўп хонадонли турар жой  мажмуаси</t>
  </si>
  <si>
    <t>https://maps.app.goo.gl/jXVmf7nba71RNzcx6</t>
  </si>
  <si>
    <t>Мирзо Улуғбек тумани, Навнихол МФЙ, Олимлар, Неъмат, Шахриобод ҳамда Гулбаданбегиим кўчалари оралиғида жойлашган</t>
  </si>
  <si>
    <t>Кўп хонадонли турар жой  мажмуаси ва  Мактаб гача таълим муассасаси</t>
  </si>
  <si>
    <t>https://maps.app.goo.gl/AenCkgPBzBfVnVux6</t>
  </si>
  <si>
    <t>Мирзо Улуғбек тумани, Навнихол МФЙ, Гулбаданбегим, Шахриобод, Олимлар ҳамда Муминова кўчалари оралиғида жойлашган</t>
  </si>
  <si>
    <t>Реконструкция                          
(5 қават)</t>
  </si>
  <si>
    <t>https://maps.app.goo.gl/tn7faMS2kzH8zpGL6</t>
  </si>
  <si>
    <t>Мирзо Улуғбек тумани, Олий ҳиммат МФЙ, Дўрмон йўли кўчаси бўйида жойлашган</t>
  </si>
  <si>
    <t>Реконструкция                         
 (5 қават)</t>
  </si>
  <si>
    <t>https://maps.app.goo.gl/6MakL56eZsL2zyDt5</t>
  </si>
  <si>
    <t>Мирзо Улуғбек тумани, Навнихол МФЙ, Дўрмон йўли, Гулбаданбегим, Олимлар ҳамда Тепамасжид кўчалари оралиғида жойлашган</t>
  </si>
  <si>
    <t>Реконструкция                          
(7 қават)</t>
  </si>
  <si>
    <t>Реновация
(27 қават)</t>
  </si>
  <si>
    <t>https://maps.app.goo.gl/4SR6Pttu1xDSt3eK9</t>
  </si>
  <si>
    <t>Мирзо Улуғбек тумани, Олий химмат МФЙ, Зиёлилар кўчаси бўйида жойлашган</t>
  </si>
  <si>
    <t>Пастки қаватлари нотурар жой бўлган кўп хонадонли турар жой  мажмуаси</t>
  </si>
  <si>
    <t>https://maps.app.goo.gl/sukojEiHKxVqz2uT6</t>
  </si>
  <si>
    <t>Мирзо Улуғбек тумани, Ойдин МФЙ, Катта Дархон кўчаси 9-уй жойлашган</t>
  </si>
  <si>
    <t xml:space="preserve">Пастки қаватлари нотурар жой бўлган кўп хонадонли турар жой  мажмуаси </t>
  </si>
  <si>
    <t>https://maps.app.goo.gl/jTsCbaQQXYQALXqc9</t>
  </si>
  <si>
    <t>Мирзо Улуғбек тумани, Дархон МФЙ, Оққўрғон ҳамда Катта дархон кўчаларида жойлашган</t>
  </si>
  <si>
    <t>Реновация                                   
(5 қават)</t>
  </si>
  <si>
    <t>https://maps.app.goo.gl/yxMf8TLo6u9Hfr8Q8</t>
  </si>
  <si>
    <t>Мирзо Улуғбек тумани, Оққўрғон МФЙ, Оққоўрғон кўчасида жойлашган</t>
  </si>
  <si>
    <t>Реконструкция                          
(8 қават)</t>
  </si>
  <si>
    <t>https://maps.app.goo.gl/3td3pJZvVvgx8RU67</t>
  </si>
  <si>
    <t>Мирзо Улуғбек тумани, Олтинтепа МФЙ, Олитнтепа кўчасида жойлашган</t>
  </si>
  <si>
    <t>Реконструкция                         
 (2 қават)</t>
  </si>
  <si>
    <t>https://maps.app.goo.gl/ytkk12QiYD4MgR596</t>
  </si>
  <si>
    <t>Мирзо Улуғбек тумани, Сайрам МФЙ, Зиёлилар кўчасида жойлашган</t>
  </si>
  <si>
    <t xml:space="preserve">Пастки қаватлари нотурар жой бўлган кўп хонадонли турар жой   мажмуаси </t>
  </si>
  <si>
    <t>https://maps.app.goo.gl/mrQd4Y71fmHV23fg7</t>
  </si>
  <si>
    <t>Мирзо Улуғбек тумани, Минглола МФЙ, Авайхон кўчаси бўйида жойлашган</t>
  </si>
  <si>
    <t>https://maps.app.goo.gl/B9fySmw6ayT7YjEw6</t>
  </si>
  <si>
    <t>Мирзо Улуғбек тумани, Чингелди МФЙ, Янги Ўзбекистон шох кўчаси бўйида жойлашган</t>
  </si>
  <si>
    <t>Реновация                                  
 (3 қават)</t>
  </si>
  <si>
    <t>Тасдиқланган концепция асосида турар ва нотурар бинолар</t>
  </si>
  <si>
    <t>https://maps.app.goo.gl/ERUy8kZSEL6ER4jp7</t>
  </si>
  <si>
    <t xml:space="preserve">Мирзо Улуғбек тумани, Турон МФЙ, Паркент кўчаси бўйида </t>
  </si>
  <si>
    <t>Бизнес маркази</t>
  </si>
  <si>
    <t>https://maps.app.goo.gl/jezQmBM413rEeaPY7</t>
  </si>
  <si>
    <t xml:space="preserve">Мирзо Улуғбек тумани, Сайрам МФЙ, Сайрам 7-тор кўчаси бўйида </t>
  </si>
  <si>
    <t>Консервация                             
 (0 қават)</t>
  </si>
  <si>
    <t>Махалла маркази</t>
  </si>
  <si>
    <t>https://maps.app.goo.gl/GN54RwCFUuadFAUFA</t>
  </si>
  <si>
    <t>Мирзо Улуғбек тумани, Боғимайдон МФЙ, Яланғоч даҳаси</t>
  </si>
  <si>
    <t>Консервация                              
(0 қават)</t>
  </si>
  <si>
    <t>https://maps.app.goo.gl/Q7rRnQHhHnsaegRL7</t>
  </si>
  <si>
    <t>Мирзо Улуғбек тумани, Ҳамид Олимжон МФЙ, Қори Ниёзий кўчасида</t>
  </si>
  <si>
    <t xml:space="preserve"> Пастки қаватлари нотурар жой бўлган кўп хонадонли турар жой   мажмуаси</t>
  </si>
  <si>
    <t>https://maps.app.goo.gl/B4jAbgji3qnAM78f6</t>
  </si>
  <si>
    <t>Мирзо Улуғбек тумани, Оққўрғон МФЙ, Осиё кўчасида</t>
  </si>
  <si>
    <t xml:space="preserve">https://maps.app.goo.gl/4ZV2wXZryQLncuoTA </t>
  </si>
  <si>
    <t>Мирзо Улуғбек тумани, Чингелди ҳамда Иқтидор МФЙ, Чавандоз кўчасида</t>
  </si>
  <si>
    <t>Ихтисослаштирилган илмий-тадқиқот институти ва лабараториялари (Ҳунармандлар маскани)</t>
  </si>
  <si>
    <t>https://maps.app.goo.gl/HRBVPV1bPfoWBzfw8</t>
  </si>
  <si>
    <t>Мирзо Улуғбек тумани, Ижодкор МФЙ, Миллий боғ кўчасида</t>
  </si>
  <si>
    <t>Нотурар жой бинолари</t>
  </si>
  <si>
    <t>https://maps.app.goo.gl/iPgR9GxAqjR2Z5d7A</t>
  </si>
  <si>
    <t>Мирзо Улуғбек тумани, Алпомиш МФЙ, Дўрмон йўли кўчасида</t>
  </si>
  <si>
    <t xml:space="preserve">https://maps.app.goo.gl/gEncrcM2tv695xcq7 </t>
  </si>
  <si>
    <t>Мирзо Улуғбек тумани, Гулсанам МФЙ, Қорасув-1 даҳаси</t>
  </si>
  <si>
    <t xml:space="preserve">https://maps.app.goo.gl/9cazDbtq8Hmrz6PJ8 </t>
  </si>
  <si>
    <t>Мирзо Улуғбек тумани, Алпомиш МФЙ, Буюк Ипак йўли 137а-уй ёнида</t>
  </si>
  <si>
    <t>Ўқув маркази биноси</t>
  </si>
  <si>
    <t xml:space="preserve">https://maps.app.goo.gl/hxKFyi3WWCzv9rUk9 </t>
  </si>
  <si>
    <t>Мирзо Улуғбек тумани, Чингелди МФЙ, Янгиобод кўчасида</t>
  </si>
  <si>
    <t>Офис, савдо ва маиший хизмат кўрсатиш биноси</t>
  </si>
  <si>
    <t xml:space="preserve">https://maps.app.goo.gl/oryASBY2gzWxLEYz5 </t>
  </si>
  <si>
    <t>Мирзо Улуғбек тумани, Олмачи МФЙ, Мухаммад Юсуф кўчасида</t>
  </si>
  <si>
    <t xml:space="preserve">https://maps.app.goo.gl/fvTPQUFgmcDcexw49 </t>
  </si>
  <si>
    <t>https://maps.app.goo.gl/dzyrk2VUevVuujs7A</t>
  </si>
  <si>
    <t>Мирзо Улуғбек тумани, Сайрам МФЙ, Сайрам кўчасида</t>
  </si>
  <si>
    <t>Реконструкция                        
  (5 қават)</t>
  </si>
  <si>
    <t>https://maps.app.goo.gl/Ziigf3VYtMT2S9Z3A</t>
  </si>
  <si>
    <t>Мирзо Улуғбек тумани, Азамат МФЙ, ТТЗ-4 даҳасида</t>
  </si>
  <si>
    <t>https://maps.app.goo.gl/vMHppVUGhVvmd1Po6</t>
  </si>
  <si>
    <t>Консервация                           
 (0 қават)</t>
  </si>
  <si>
    <t>Савдо ва маиший хизмат кўрсатиш биноси</t>
  </si>
  <si>
    <t>https://maps.app.goo.gl/WpcmNr1Fg2Fjk5ap9</t>
  </si>
  <si>
    <t xml:space="preserve">Мирзо Улуғбек тумани, Бўз МФЙ, Зиёлилар кўчаси, 26-уй </t>
  </si>
  <si>
    <t>Реконструкция
(32 қават)</t>
  </si>
  <si>
    <t>https://maps.app.goo.gl/vuBfvqb7tYvk7n7JA</t>
  </si>
  <si>
    <t xml:space="preserve">Мирзо Улуғбек тумани, Бўз МФЙ, Зиёлилар кўчаси </t>
  </si>
  <si>
    <t>https://maps.app.goo.gl/o9QH4NhmtDhDxJgx5</t>
  </si>
  <si>
    <t>Мирзо Улуғбек тумани, Сайрам МФЙ, Сайрам 7-тор кўчасида</t>
  </si>
  <si>
    <t>Реновация                                  
 (5 қават)</t>
  </si>
  <si>
    <t>https://maps.app.goo.gl/ReHv9vyvKEUSdCYn6</t>
  </si>
  <si>
    <t xml:space="preserve">Мирзо Улуғбек тумани,Ойдин МФЙ, Янгитарнов 1-тор </t>
  </si>
  <si>
    <t>https://maps.app.goo.gl/nmYaRW4MF7Nsxdo6A</t>
  </si>
  <si>
    <t xml:space="preserve">Мирзо Улуғбек тумани, Навнихол МФЙ, Дўрмон йўли ҳамда Шахриобод кўчалари оралиғида </t>
  </si>
  <si>
    <t>Реконструкция
(18 қават)</t>
  </si>
  <si>
    <t>Мактабгача таълим муассасаси ва Мактаб бинолари ҳамда Кўп хонадонли турар жой мажмуаси</t>
  </si>
  <si>
    <t>https://maps.app.goo.gl/7Ygz7H9LeZNazGke9</t>
  </si>
  <si>
    <t xml:space="preserve">Мирзо Улуғбек тумани, Шахриобод МФЙ, Шахриобод кўчаси 3-уй </t>
  </si>
  <si>
    <t>Реконструкция
(4 қават)</t>
  </si>
  <si>
    <t>https://maps.app.goo.gl/xwuVjKw9A8rsNMV58</t>
  </si>
  <si>
    <t>Мирзо Улуғбек тумани, Асака МФЙ, Асака 1-тор кўчаси</t>
  </si>
  <si>
    <t>Реновация
(30 қават)</t>
  </si>
  <si>
    <t xml:space="preserve">Мактабгача таълим муассасаси ва Мактаб бинолари ҳамда Кўп хонадонли турар жой мажмуаси </t>
  </si>
  <si>
    <t>https://maps.app.goo.gl/XmP2tY3Bkjzqzs3JA</t>
  </si>
  <si>
    <t>Мирзо Улуғбек тумани, Яланғоч, Бахор ҳамда Нодирабегим МФЙлар, Темур Малик кўчаси бўйида</t>
  </si>
  <si>
    <t>Реконструкция                          
(2 қават)</t>
  </si>
  <si>
    <t>Реновация
(7 қават)</t>
  </si>
  <si>
    <t>https://maps.app.goo.gl/uzrHYcQEuXtLz5Xb7</t>
  </si>
  <si>
    <t xml:space="preserve">Мирзо Улуғбек тумани, Олмачи МФЙ, Паркент кўчаси, 131-уй </t>
  </si>
  <si>
    <t>https://maps.app.goo.gl/v4P8DVxYroZtkwyy7</t>
  </si>
  <si>
    <t>Мирзо Улуғбек тумани, Янги Олмачи МФЙ, Мустақиллик кўчаси</t>
  </si>
  <si>
    <t>Реновация
(36 қават)</t>
  </si>
  <si>
    <t>Кўп квартирали турар жой ва соавдо-хизмат кўрсатиш объектлари</t>
  </si>
  <si>
    <t>https://www.google.com/maps/place/41%C2%B018'56.0%22N+69%C2%B019'38.2%22E/@41.3214637,69.3133821,301m/data=!3m1!1e3!4m4!3m3!8m2!3d41.315566!4d69.327283?entry=ttu&amp;g_ep=EgoyMDI1MDUxMy4xIKXMDSoASAFQAw%3D%3D</t>
  </si>
  <si>
    <t>Мирзо Улуғбек тумани, Мустақиллик МФЙ, Мустақиллик шох кўчаси</t>
  </si>
  <si>
    <t>Реконструкция
(64 қават)</t>
  </si>
  <si>
    <t>https://maps.app.goo.gl/ivmbyqMwrMSwTFNA7</t>
  </si>
  <si>
    <t>Мирзо Улуғбек тумани, Олимлар МФЙ, Дщрмон йўли кўчаси</t>
  </si>
  <si>
    <t>https://maps.app.goo.gl/84eaYXfRtHnM8yNe7</t>
  </si>
  <si>
    <t>Мирзо Улуғбек тумани, Сайрам МФЙ, Сайрам 5-тор кўчаси</t>
  </si>
  <si>
    <t>Реновация
(20 қават)</t>
  </si>
  <si>
    <t>https://maps.app.goo.gl/Nh9o9pypGaaG2g5Z7</t>
  </si>
  <si>
    <t>45*</t>
  </si>
  <si>
    <t>Алишеробод МФЙ, Миллий боғ кўчаси (Янги Ўзбекистон кўчаси бўйига туташ)</t>
  </si>
  <si>
    <t>Реновация                                  
 (8 қават)</t>
  </si>
  <si>
    <t>тиббиёт клиникаси, университет бинолари, талабалар ётоқҳоналари, меҳмонхона ва бошқа хизмат кўрсатиш объектлари</t>
  </si>
  <si>
    <t>https://maps.app.goo.gl/xoTJvLvYuKKEihcM8</t>
  </si>
  <si>
    <t>Олмазор</t>
  </si>
  <si>
    <t>"Гани Азамов" МФЙ, Кичик халка автомобиль йули ва Сабон кучалари кесишмасида</t>
  </si>
  <si>
    <t>Рееконструкция (5 қават)</t>
  </si>
  <si>
    <t>Савдо маиший хизмат кўрсатиш кўп квартирали турар жойлар</t>
  </si>
  <si>
    <t>https://maps.app.goo.gl/1YWUKipbJa5hMSTr8</t>
  </si>
  <si>
    <t>"Қорасарой" МФЙ, Қорасарой ва Минор кўчалари кесишувида</t>
  </si>
  <si>
    <t>https://maps.app.goo.gl/FdFSkaSJZ1Qj5ePA8</t>
  </si>
  <si>
    <t>Мискин 2- МФЙ  (Шимолий Олмазор кўчаси, Ўзсаноатқурилишбанк рўпараси)</t>
  </si>
  <si>
    <t>https://maps.app.goo.gl/VXKRCwV886ZwTM5J8</t>
  </si>
  <si>
    <t>"Мискин" 3-МФЙ, Уста Ширин кўча 119, 117 ва 115-уйлар, Тахтапул  Дарвоза  кучалари  кесишувида (Нотариус)</t>
  </si>
  <si>
    <t>https://maps.app.goo.gl/2TwhVXfMWWXBYRyZ6</t>
  </si>
  <si>
    <t>"Мискин" 4-МФЙ, Уста Ширин кўча 110, 110а ва 108-уйлар (ГОРпес рўпараси)</t>
  </si>
  <si>
    <t>https://maps.app.goo.gl/ZY9TikNi6XXjQzJ49</t>
  </si>
  <si>
    <t>"Мискин" 5- МФЙ, Мискин ва А.Донишvкўчалари кесишувида (Мискин МФЙ янги биноси ёнида)</t>
  </si>
  <si>
    <t>https://maps.app.goo.gl/UXSxq84zCErnqaCFA</t>
  </si>
  <si>
    <t>"Чилтўғон" МФЙ, Нурафшон айланма кўчаси ва Шимолий Олмазор кўчалари кесишувида</t>
  </si>
  <si>
    <t>https://maps.app.goo.gl/UAwCA1vVoTSirrY18</t>
  </si>
  <si>
    <t>"Гуруч ариқ" МФЙ, Сағбон кўчаси</t>
  </si>
  <si>
    <t>https://maps.app.goo.gl/g3nMr1hnnLvjcDdp7</t>
  </si>
  <si>
    <t>Мискин 2- МФЙ  худудида</t>
  </si>
  <si>
    <r>
      <t xml:space="preserve">Жомий саноат ҳудудида </t>
    </r>
    <r>
      <rPr>
        <sz val="12"/>
        <color rgb="FF000000"/>
        <rFont val="Calibri"/>
        <family val="2"/>
        <scheme val="minor"/>
      </rPr>
      <t>юқори технологик, инновацион, саноат ипотека ҳудуди (яшаш массиви эмас)</t>
    </r>
  </si>
  <si>
    <t>https://www.google.com/maps/place/EMAN+Materials+JOMIY/@41.3593071,69.2551514,853m/data=!3m1!1e3!4m14!1m7!3m6!1s0x38ae8c9205fb7f03:0xd9a0187d871f73e0!2sONIKS+TASHKENT!8m2!3d41.3551016!4d69.2491475!16s%2Fg%2F11f35d5cm7!3m5!1s0x38ae8d5f3172c675:0x6650c392a139d17f!8m2!3d41.3586242!4d69.2561063!16s%2Fg%2F11h008thvw?entry=ttu&amp;g_ep=EgoyMDI1MDEyOC4wIKXMDSoASAFQAw%3D%3D</t>
  </si>
  <si>
    <t>Мискин 2- МФЙ  (Шимолий Олмазор кўчаси,Янги Олмазор кўчаси ва Уста ширин кўчалари кесишмаси</t>
  </si>
  <si>
    <t>КСЗ ҳудудиа замонавий  Савдо маиший хизмат кўрсатиш кўп квартирали турар жойлар</t>
  </si>
  <si>
    <t>https://www.google.com/maps/place/ONIKS+TASHKENT/@41.3546526,69.2481497,427m/data=!3m1!1e3!4m14!1m7!3m6!1s0x38ae8c9205fb7f03:0xd9a0187d871f73e0!2sONIKS+TASHKENT!8m2!3d41.3551016!4d69.2491475!16s%2Fg%2F11f35d5cm7!3m5!1s0x38ae8c9205fb7f03:0xd9a0187d871f73e0!8m2!3d41.3551016!4d69.2491475!16s%2Fg%2F11f35d5cm7?entry=ttu&amp;g_ep=EgoyMDI1MDEyOC4wIKXMDSoASAFQAw%3D%3D</t>
  </si>
  <si>
    <t>Олмазор тумани, Қорақамиш -3 кўчаси</t>
  </si>
  <si>
    <t xml:space="preserve">консервация қисман қизил чизиқ  4 қават </t>
  </si>
  <si>
    <t>Реконструкция                                                          ( 5 қават)</t>
  </si>
  <si>
    <t>“Юқори Бешқўрғон” МФЙ идораси</t>
  </si>
  <si>
    <t>https://www.google.com/maps/place/41%C2%B022'17.7%22N+69%C2%B011'59.7%22E/@41.3713394,69.1995365,789m/data=!3m1!1e3!4m4!3m3!8m2!3d41.371585!4d69.199912?entry=ttu&amp;g_ep=EgoyMDI1MDEyNy4wIKXMDSoASAFQAw%3D%3D</t>
  </si>
  <si>
    <t>Инвеститция</t>
  </si>
  <si>
    <t>Мискин кўчаси</t>
  </si>
  <si>
    <t>“Мискин” МФЙ идораси</t>
  </si>
  <si>
    <t>https://www.google.com/maps/place/41%C2%B020'53.6%22N+69%C2%B015'39.9%22E/@41.348212,69.261086,1578m/data=!3m1!1e3!4m4!3m3!8m2!3d41.348212!4d69.261086?entry=ttu&amp;g_ep=EgoyMDI1MDEyNy4wIKXMDSoASAFQAw%3D%3D</t>
  </si>
  <si>
    <t>Олмазор тумани, Сағбон кўчаси, 166-уй</t>
  </si>
  <si>
    <t xml:space="preserve">“Гузарбоши”МФЙ идораси </t>
  </si>
  <si>
    <t>https://www.google.com/maps/place/41%C2%B020'19.5%22N+69%C2%B013'54.8%22E/@41.338737,69.231877,1578m/data=!3m1!1e3!4m4!3m3!8m2!3d41.338737!4d69.231877?entry=ttu&amp;g_ep=EgoyMDI1MDEyNy4wIKXMDSoASAFQAw%3D%3D</t>
  </si>
  <si>
    <t>Қорақамиш-3 кўчаси</t>
  </si>
  <si>
    <t xml:space="preserve">“Шон Шухрат” МФЙ идораси </t>
  </si>
  <si>
    <t>https://www.google.com/maps/place/41%C2%B022'17.5%22N+69%C2%B012'01.9%22E/@41.37154,69.200518,1577m/data=!3m1!1e3!4m4!3m3!8m2!3d41.37154!4d69.200518?entry=ttu&amp;g_ep=EgoyMDI1MDEyNy4wIKXMDSoASAFQAw%3D%3D</t>
  </si>
  <si>
    <t xml:space="preserve">Қорақамиш-1 кўчаси 2а уйлар оралиғида </t>
  </si>
  <si>
    <t xml:space="preserve">консервация қизил чизиқ  0 қават </t>
  </si>
  <si>
    <t xml:space="preserve">“Умид” МФЙ идораси </t>
  </si>
  <si>
    <t>https://www.google.com/maps/place/41%C2%B021'57.9%22N+69%C2%B012'54.8%22E/@41.366091,69.215208,1578m/data=!3m1!1e3!4m4!3m3!8m2!3d41.366091!4d69.215208?entry=ttu&amp;g_ep=EgoyMDI1MDEyNy4wIKXMDSoASAFQAw%3D%3D</t>
  </si>
  <si>
    <t>Қорақамиш 1/4 дахаси, 34/1-уй</t>
  </si>
  <si>
    <t>“Гулсарой” МФЙ идора</t>
  </si>
  <si>
    <t>https://www.google.com/maps/place/41%C2%B021'56.3%22N+69%C2%B014'13.0%22E/@41.365651,69.236931,1578m/data=!3m1!1e3!4m4!3m3!8m2!3d41.365651!4d69.236931?entry=ttu&amp;g_ep=EgoyMDI1MDEyNy4wIKXMDSoASAFQAw%3D%3D</t>
  </si>
  <si>
    <t xml:space="preserve">Хумайро Ўратепа кўчаси 37-уй ёнида </t>
  </si>
  <si>
    <t>“Кайковуз” МФЙ идораси</t>
  </si>
  <si>
    <t>https://maps.app.goo.gl/wHikUMZq8xXRQmWZ7</t>
  </si>
  <si>
    <t>Shimoliy Olmazor 1-tor ko‘chasi va Bobojonov ko‘chasi 10,12,38-uylar ro‘parasi</t>
  </si>
  <si>
    <t>“Хончорбоғ”МФЙ идораси</t>
  </si>
  <si>
    <t>https://www.google.com/maps/place/41%C2%B020'47.7%22N+69%C2%B015'05.1%22E/@41.346576,69.25141,1578m/data=!3m1!1e3!4m4!3m3!8m2!3d41.346576!4d69.25141?entry=ttu&amp;g_ep=EgoyMDI1MDEyNy4wIKXMDSoASAFQAw%3D%3D</t>
  </si>
  <si>
    <t>Сағбон кўчаси 5-уй олдида</t>
  </si>
  <si>
    <t>“Зархал”МФЙ идораси</t>
  </si>
  <si>
    <t>https://maps.app.goo.gl/BGxWLL3JRXK9uGfX9</t>
  </si>
  <si>
    <t xml:space="preserve">Beshqo`rg`on 3-daxasi (Shiribom yonida) </t>
  </si>
  <si>
    <t>Кўп қаватли турар уй жой бинолари</t>
  </si>
  <si>
    <t>https://maps.app.goo.gl/wMYXooXS3Y7oDrLG8</t>
  </si>
  <si>
    <t>Shifokorlar MFY</t>
  </si>
  <si>
    <t>Реновация
(8 қават)</t>
  </si>
  <si>
    <t>Мехмонхона Соғломлаштириш маркази ижтимоий обьектлар</t>
  </si>
  <si>
    <t>https://www.google.com/maps/place/41%C2%B021'18.0%22N+69%C2%B010'16.0%22E/@41.3549887,69.1685226,17z/data=!3m1!4b1!4m4!3m3!8m2!3d41.3549887!4d69.1710975?entry=ttu&amp;g_ep=EgoyMDI1MDEyMi4wIKXMDSoASAFQAw%3D%3D</t>
  </si>
  <si>
    <t>Mustaqil yurt MFY</t>
  </si>
  <si>
    <t>Кўп тармоқли мажмуа бинолари</t>
  </si>
  <si>
    <t>https://www.google.com/maps/place/41%C2%B022'00.9%22N+69%C2%B011'55.3%22E/@41.3669085,69.1961129,17z/data=!3m1!4b1!4m4!3m3!8m2!3d41.3669085!4d69.1986878?entry=ttu&amp;g_ep=EgoyMDI1MDEyMi4wIKXMDSoASAFQAw%3D%3D</t>
  </si>
  <si>
    <t>Иброхим ота ва Широқ қўчалари кесишувида</t>
  </si>
  <si>
    <t>Реновация
(3 қават)</t>
  </si>
  <si>
    <t>Ишлаб чиқариш омборхоналари</t>
  </si>
  <si>
    <t>https://maps.app.goo.gl/s3rhemu7J7DGRU189</t>
  </si>
  <si>
    <t>Бешқўрғон-3 дахаси, 24 уй олдида</t>
  </si>
  <si>
    <t>Маиший хизмат кўрсатиш офис</t>
  </si>
  <si>
    <t>https://www.google.com/maps/place/41%C2%B021'59.2%22N+69%C2%B011'55.5%22E/@41.3664562,69.1961637,846m/data=!3m2!1e3!4b1!4m4!3m3!8m2!3d41.3664562!4d69.1987386?entry=ttu&amp;g_ep=EgoyMDI1MDEyMi4wIKXMDSoASAFQAw%3D%3D</t>
  </si>
  <si>
    <t>Қорақамиш-2/1 даҳа, 191-мактаб орқасида</t>
  </si>
  <si>
    <t>https://www.google.com/maps/place/41%C2%B021'37.5%22N+69%C2%B013'15.7%22E/@41.3604256,69.2184624,17z/data=!3m1!4b1!4m4!3m3!8m2!3d41.3604256!4d69.2210373?entry=ttu&amp;g_ep=EgoyMDI1MDEyMi4wIKXMDSoASAFQAw%3D%3D</t>
  </si>
  <si>
    <t>Paxta MFY</t>
  </si>
  <si>
    <t>Реконструкция+Консервация</t>
  </si>
  <si>
    <t>Маиший хизмат кўрсатиш офис, кўп қаватли турар жой биноси</t>
  </si>
  <si>
    <t>https://www.google.com/maps/place/41%C2%B021'36.1%22N+69%C2%B013'29.0%22E/@41.36004,69.2221427,17z/data=!3m1!4b1!4m4!3m3!8m2!3d41.36004!4d69.2247176?entry=ttu&amp;g_ep=EgoyMDI1MDEyMi4wIKXMDSoASAFQAw%3D%3D</t>
  </si>
  <si>
    <t>Қамарнисо кўчасида</t>
  </si>
  <si>
    <t>Реконструкция
(2 қават)</t>
  </si>
  <si>
    <t>https://www.google.com/maps/place/41%C2%B021'40.6%22N+69%C2%B011'28.4%22E/@41.3612799,69.1886387,17z/data=!3m1!4b1!4m4!3m3!8m2!3d41.3612799!4d69.1912136?entry=ttu&amp;g_ep=EgoyMDI1MDEyMi4wIKXMDSoASAFQAw%3D%3D</t>
  </si>
  <si>
    <t>Qoraqamish ko'chasi, 21-uy (Qariyalar uyi oldi)</t>
  </si>
  <si>
    <t xml:space="preserve">Реконструкция (5 қават) </t>
  </si>
  <si>
    <t>Савдо маиший хизмат кўрсатиш ва кўп қаватли турар уй жой бинолари</t>
  </si>
  <si>
    <t>https://maps.app.goo.gl/NqnLXjjiZgr6RscG6</t>
  </si>
  <si>
    <t>Taraqqiyot ko'chasi</t>
  </si>
  <si>
    <t xml:space="preserve">Савдо маиший хизмат кўрсатиш </t>
  </si>
  <si>
    <t>https://maps.app.goo.gl/rDzZQ2ewiAhJQn6s8</t>
  </si>
  <si>
    <t>Sag‘bon ko'chasi, 295-uy</t>
  </si>
  <si>
    <t xml:space="preserve">Реконструкция (7 қават) </t>
  </si>
  <si>
    <t>https://maps.app.goo.gl/5M2sdcAmS1rKDQ8p7</t>
  </si>
  <si>
    <t>Olmazor tumani, Ziyo MFY, Talabalar ko'chasi, 21-uy (E`tiqod mebel)</t>
  </si>
  <si>
    <t>https://maps.app.goo.gl/ZiFUVuczvesRUaHZ6</t>
  </si>
  <si>
    <t>Сагбон кучаси, 186-уй</t>
  </si>
  <si>
    <t>https://maps.app.goo.gl/dh6JMwXCeo1x3D376</t>
  </si>
  <si>
    <t>Чимбой кучаси, 1-уй (Chimboy Tower)</t>
  </si>
  <si>
    <t>https://maps.app.goo.gl/pEDNUSbfSSgcm6KT9</t>
  </si>
  <si>
    <t>Олтинсой кўчаси (Kumush invest qurilgan)</t>
  </si>
  <si>
    <t>Реновация
(21 қават)</t>
  </si>
  <si>
    <t>https://maps.app.goo.gl/oAwQyzsyxbbMvYBd6</t>
  </si>
  <si>
    <t>Талабалар кўчасида              (Qora Qamish bozor o`rni)</t>
  </si>
  <si>
    <t>IT сохасига ихтисослаштирилган кўп қаватли офис биноси</t>
  </si>
  <si>
    <t>https://www.google.com/maps/place/Bozorcha/@41.3512142,69.2131454,503m/data=!3m1!1e3!4m6!3m5!1s0x38ae8d2db7c16175:0x6954721346bcb53a!8m2!3d41.351958!4d69.2124816!16s%2Fg%2F11p106k2j3?entry=ttu&amp;g_ep=EgoyMDI1MDEyOC4wIKXMDSoASAFQAw%3D%3D</t>
  </si>
  <si>
    <t>Қорасарой кўчаси, 269-уй (Soliq binosi)</t>
  </si>
  <si>
    <t>реновация (5 қават)</t>
  </si>
  <si>
    <t>Бизнес марказ ва уй жой</t>
  </si>
  <si>
    <t>https://maps.app.goo.gl/7PPCqFq5P8gC4h5E7</t>
  </si>
  <si>
    <t>Қорақамиш 1-кўчаси, 21-уй (Qushbozor o`rni ECO bozor)</t>
  </si>
  <si>
    <t>Савдо комплекс</t>
  </si>
  <si>
    <t>https://www.google.com/maps/place/41%C2%B020'47.5%22N+69%C2%B013'56.1%22E/@41.3618233,69.2138245,503m/data=!3m1!1e3!4m4!3m3!8m2!3d41.3465352!4d69.2322473?entry=ttu&amp;g_ep=EgoyMDI1MDEyOC4wIKXMDSoASAFQAw%3D%3D</t>
  </si>
  <si>
    <t>Фаробий кўчаси, 270-уй (111-maktab oldi)</t>
  </si>
  <si>
    <t>реконструкция (7 қават)</t>
  </si>
  <si>
    <t>Нон шаҳри мажмуаси</t>
  </si>
  <si>
    <t>https://www.google.com/maps/@41.3384394,69.2231381,356m/data=!3m1!1e3?entry=ttu&amp;g_ep=EgoyMDI1MDEyOC4wIKXMDSoASAFQAw%3D%3D</t>
  </si>
  <si>
    <t>Нурафшон кўчаси, 52-уй (Tuman Elektr Tarmoqlari)</t>
  </si>
  <si>
    <t>Кўп квартирали турар жой бинолари</t>
  </si>
  <si>
    <t>https://maps.app.goo.gl/Qw8s2Jddhxef6bmRA</t>
  </si>
  <si>
    <t>Фаробий кўчаси, 26А-уй (Shahar suv ta`minoti)</t>
  </si>
  <si>
    <t>реконструкция (5 қават)</t>
  </si>
  <si>
    <t>Реконстукция
(16 қават)</t>
  </si>
  <si>
    <t>Савдо маиший хизмат кўрсатиш ва Кўп квартирали турар жой бинолари</t>
  </si>
  <si>
    <t>https://maps.app.goo.gl/ytgMsfivHNADTzFX6</t>
  </si>
  <si>
    <t>"Чилтўғон" МФЙ, Тахтапул ва А.Дониш кўчалари оралиғи                 (Шош Силвер ва туташ ҳудуд)</t>
  </si>
  <si>
    <t>Реконстукция
(12 қават)</t>
  </si>
  <si>
    <t>https://www.google.com/maps/@41.3388281,69.2582532,301m/data=!3m1!1e3?entry=ttu&amp;g_ep=EgoyMDI1MDMwOC4wIKXMDSoASAFQAw%3D%3D</t>
  </si>
  <si>
    <t>"Гуручарик-2" МФЙ</t>
  </si>
  <si>
    <t xml:space="preserve"> Реновация (12 қават)</t>
  </si>
  <si>
    <t xml:space="preserve">Кўп квартирали турар жой бинолари. </t>
  </si>
  <si>
    <t xml:space="preserve">https://maps.app.goo.gl/VkjLuBEC6tSn8MiP8 </t>
  </si>
  <si>
    <t>"Гузарбоши" МФЙ</t>
  </si>
  <si>
    <t>Реконструкция 7 қават</t>
  </si>
  <si>
    <t xml:space="preserve"> Реконструкция (12 қават)</t>
  </si>
  <si>
    <t xml:space="preserve">https://maps.app.goo.gl/gNMg7wccwFjHQZeN7 </t>
  </si>
  <si>
    <t>"Куёш" МФЙ</t>
  </si>
  <si>
    <t>Реконструкция (8 қават)</t>
  </si>
  <si>
    <t>0,12</t>
  </si>
  <si>
    <t xml:space="preserve">https://maps.app.goo.gl/hizBEwmWzQyVkHzf8 </t>
  </si>
  <si>
    <t>"Шодиёна" МФЙ</t>
  </si>
  <si>
    <t>Учтепа</t>
  </si>
  <si>
    <t xml:space="preserve">Учтепа тумани, Ширин МФЙ  </t>
  </si>
  <si>
    <t>Турар жой ва савдо хизмат кўрсатиш объектлари</t>
  </si>
  <si>
    <t>https://maps.app.goo.gl/Dkq92fbJyZt6Bg7w5</t>
  </si>
  <si>
    <t>Консервация худуди</t>
  </si>
  <si>
    <t>https://maps.app.goo.gl/xdvRN2UJBMH8xfJA7</t>
  </si>
  <si>
    <t>Реновация
(9 қават)</t>
  </si>
  <si>
    <t>https://maps.app.goo.gl/EL4RBJX7WKDw98x26</t>
  </si>
  <si>
    <t>Учтепа тумани, 
Хамдўст МФЙ</t>
  </si>
  <si>
    <t>https://maps.app.goo.gl/Z8qqT7SgyKDBoCD77</t>
  </si>
  <si>
    <t>Турар жой ва хусусий клиника, МТТ объектлари</t>
  </si>
  <si>
    <t>https://maps.app.goo.gl/rsrvr3Y3RVForVPK6</t>
  </si>
  <si>
    <t>Аукцион (инвестиция)</t>
  </si>
  <si>
    <t xml:space="preserve">Учтепа тумани, 
Ватанпарвар МФЙ  </t>
  </si>
  <si>
    <t>https://maps.app.goo.gl/Ye37pAmZJfhY4kph8</t>
  </si>
  <si>
    <t xml:space="preserve">Реновация (5  қават) </t>
  </si>
  <si>
    <t>https://maps.app.goo.gl/FLX62i6wF1pWabd6A</t>
  </si>
  <si>
    <t xml:space="preserve">Учтепа тумани, 
Нуробод МФЙ  </t>
  </si>
  <si>
    <t>савдо хизмат кўрсатиш объектлари</t>
  </si>
  <si>
    <t>https://maps.app.goo.gl/NYrUVftUAoq54HDp7</t>
  </si>
  <si>
    <t xml:space="preserve">Учтепа тумани, 
Ватан МФЙ  </t>
  </si>
  <si>
    <t>Реконструкция 
(2 қават)</t>
  </si>
  <si>
    <t>Реконструкция 
(7 қават)</t>
  </si>
  <si>
    <t>https://maps.app.goo.gl/nbrdwPbXTZeHxA5K6</t>
  </si>
  <si>
    <t xml:space="preserve">Учтепа тумани, 
Гузар МФЙ  </t>
  </si>
  <si>
    <t>https://maps.app.goo.gl/c6KDGrzBxpEfWNRm7</t>
  </si>
  <si>
    <t>Реконструкция 
(25 қават)</t>
  </si>
  <si>
    <t>https://maps.app.goo.gl/hft98JoYFycR5Bed7</t>
  </si>
  <si>
    <t xml:space="preserve">Учтепа тумани, 
Кўхна Чўпонота МФЙ  </t>
  </si>
  <si>
    <t>Консервация худуди (0 қават)</t>
  </si>
  <si>
    <t>Маҳалла биноси</t>
  </si>
  <si>
    <t>https://maps.app.goo.gl/goXCLgrHfSnaTYuQ9</t>
  </si>
  <si>
    <t xml:space="preserve">Учтепа тумани, 
Боғобод МФЙ  </t>
  </si>
  <si>
    <t>https://maps.app.goo.gl/E8n5h8eQSY6sWBH17</t>
  </si>
  <si>
    <t xml:space="preserve">Учтепа тумани, 
Катта Чўпонота МФЙ  </t>
  </si>
  <si>
    <t>Реновация (6 қават)</t>
  </si>
  <si>
    <t>Реновация 
(18 қават)</t>
  </si>
  <si>
    <t>https://maps.app.goo.gl/kpK8ofrvwcsdvqDj6</t>
  </si>
  <si>
    <t xml:space="preserve">Учтепа тумани, 
Бирлик МФЙ  </t>
  </si>
  <si>
    <t>https://maps.app.goo.gl/fGvsScAj68RL1YW3A</t>
  </si>
  <si>
    <t>Учтепа тумани, Катта Чўпонота МФЙ, Фозилтепа кучаси (Бўзсув канали оралиғида)</t>
  </si>
  <si>
    <t>Реновация 
(35 қават)</t>
  </si>
  <si>
    <t>Турар жой ва савдо хизмат кўрсатиш, мехмонхона, ҳусусий клиника, мактабгача таълим муасссаси ҳамда  Мактаб объектлари</t>
  </si>
  <si>
    <t>https://maps.app.goo.gl/pZfTm23KaTWDsWKr8</t>
  </si>
  <si>
    <t xml:space="preserve">Учтепа тумани, 
Давлотобод МФЙ  </t>
  </si>
  <si>
    <t>Қисман Консервация худуди (0,3 с) ва Реновация (8 қават)</t>
  </si>
  <si>
    <t>https://maps.app.goo.gl/m2m6beQwyDetewqM6</t>
  </si>
  <si>
    <t>Учтепа тумани, 
Журжоний МФЙ</t>
  </si>
  <si>
    <t>Реновация (8 қават)</t>
  </si>
  <si>
    <t>https://maps.app.goo.gl/mPZoJPC9zRzwV5N79</t>
  </si>
  <si>
    <t>Ёшлар саноат зонаси объектлари</t>
  </si>
  <si>
    <t>https://maps.app.goo.gl/stiQjBtoa9ntfiYz5</t>
  </si>
  <si>
    <t>Учтепа тумани, 
Кўкча Оқтепа МФЙ</t>
  </si>
  <si>
    <t>https://maps.app.goo.gl/YMRwm4jLP6PYSGvV9</t>
  </si>
  <si>
    <t xml:space="preserve">Учтепа тумани, 
Пахтакор МФЙ, Кўкча Оқтепа МФЙ ва Журжоний МФЙ  </t>
  </si>
  <si>
    <t>https://maps.app.goo.gl/3ELzpB9ZEsB6MdY26</t>
  </si>
  <si>
    <t xml:space="preserve">Учтепа тумани, 
Пахтакор МФЙ, Шофайзибоғ МФЙ ва Нишабариқ МФЙ  </t>
  </si>
  <si>
    <t>Реновация ва Реконструкция 
(3-5 қават)</t>
  </si>
  <si>
    <t>https://maps.app.goo.gl/9CEGRYyerCRx2egB9</t>
  </si>
  <si>
    <t>Учтепа тумани, 
Зарафшон МФЙ</t>
  </si>
  <si>
    <t>https://maps.app.goo.gl/ytpPtU7xDSWWXAxGA</t>
  </si>
  <si>
    <t>Реновация 
(2 қават)</t>
  </si>
  <si>
    <t>https://maps.app.goo.gl/bqfAookftQnYc1RG9</t>
  </si>
  <si>
    <t>Учтепа тумани, 
Оқмасжид МФЙ</t>
  </si>
  <si>
    <t>https://maps.app.goo.gl/2LjqrSiqVkBUrhERA</t>
  </si>
  <si>
    <t>https://maps.app.goo.gl/ZBVUBKNDaj3qY9cw5</t>
  </si>
  <si>
    <t>https://maps.app.goo.gl/ix8oct5iw3JuiCRH6</t>
  </si>
  <si>
    <t>https://maps.app.goo.gl/CWdqHcUuo1qJ8ymd8</t>
  </si>
  <si>
    <t>Учтепа тумани, 
Ўрикзор МФЙ</t>
  </si>
  <si>
    <t>https://maps.app.goo.gl/vmTTr8qjERhoHRWU8</t>
  </si>
  <si>
    <t>Учтепа тумани, Кўксарой МФЙ</t>
  </si>
  <si>
    <t>https://maps.app.goo.gl/b9v5vv8zSgmTaw7h6</t>
  </si>
  <si>
    <t>Учтепа тумани, 
Фозилтепа МФЙ</t>
  </si>
  <si>
    <t>Турар жой</t>
  </si>
  <si>
    <t>https://maps.app.goo.gl/ji3hFVJ52jZ91Aue6</t>
  </si>
  <si>
    <t>https://maps.app.goo.gl/rzaNUFA6ehZon8qg7</t>
  </si>
  <si>
    <t>Яккасарой тумани</t>
  </si>
  <si>
    <t xml:space="preserve">Шохжаҳон МФЙ,  Ш,Руставели кўчаси, 52а-уй манзили ASKIYA DEHQON BOZORI худуди </t>
  </si>
  <si>
    <t>Реновация                            қаватлар сони 5</t>
  </si>
  <si>
    <t>Реновация            қаватлар сони 33</t>
  </si>
  <si>
    <t xml:space="preserve">Савдо маиший кўп хонадонли турар жой Мехмонхона ва бизнес марказлар   </t>
  </si>
  <si>
    <t>https://maps.app.goo.gl/Aw733dLepzgWCxYNA</t>
  </si>
  <si>
    <t>Мухандислар МФЙ TOSHKENT SHAHAR KICHIK VA YOSHLAR SANOAT ZONALARINI BOSHQARISH DIREKSIYASI DAVLAT MUASSASASI худуди</t>
  </si>
  <si>
    <t>Реновация                            қаватлар сони 10</t>
  </si>
  <si>
    <t>Реновация            қаватлар сони 35-48</t>
  </si>
  <si>
    <t xml:space="preserve">Савдо маиший кўп хонадонли турар жой ва бизнес марказлар   </t>
  </si>
  <si>
    <t>https://maps.app.goo.gl/FEm7PxZ3cZfP2orZ9</t>
  </si>
  <si>
    <t>Дамариқ МФЙ,  Абдулла Қаххор  кўчаси</t>
  </si>
  <si>
    <t>Реновация            қаватлар сони 25</t>
  </si>
  <si>
    <t>https://maps.app.goo.gl/RoYeMtSn9NYEkHyf7</t>
  </si>
  <si>
    <t xml:space="preserve">Боғсарой МФЙ, Миробод кўчаси 2-уй  манзил худуди </t>
  </si>
  <si>
    <t>Реконструкция                         қаватлар сони 5</t>
  </si>
  <si>
    <t>Реновация            қаватлар сони 35</t>
  </si>
  <si>
    <t>Мехмонхона, Савдо маиший кўп хонадонли турар жой ва бизнес марказлар</t>
  </si>
  <si>
    <t>https://maps.app.goo.gl/wNdVh7UCwEiGUyc5A</t>
  </si>
  <si>
    <t xml:space="preserve">Белариқ МФЙ,  Бобур кўчаси,                   24-26-28-уй манзили худуди </t>
  </si>
  <si>
    <t>Реновация            қаватлар сони 30</t>
  </si>
  <si>
    <t>https://maps.app.goo.gl/6k2GspUfhitqReaA9</t>
  </si>
  <si>
    <t xml:space="preserve">Армуғон МФЙ,  Бобур кўчаси, Салар канал бўйи худуди </t>
  </si>
  <si>
    <t xml:space="preserve">Банк, Мехмонхона, Савдо маиший кўп хонадонли турар жой ва бизнес марказлар </t>
  </si>
  <si>
    <t>https://maps.app.goo.gl/wUaXxRttfzTajfrD8</t>
  </si>
  <si>
    <t xml:space="preserve">Абдулла Қаҳҳор МФЙ Бобур кўчаси, 63-уй ёнида </t>
  </si>
  <si>
    <t>Реконструкция                         қаватлар сони 7</t>
  </si>
  <si>
    <t>Реконстукция қаватлар сони 48</t>
  </si>
  <si>
    <t>https://maps.app.goo.gl/vCmSoHXFvzcHPj8C8</t>
  </si>
  <si>
    <t xml:space="preserve">Ҳамид Сулаймон МФЙ, Глинка кўчаси манзили худудида   </t>
  </si>
  <si>
    <t>Реконструкция                         қаватлар сони 8</t>
  </si>
  <si>
    <t>Реновация            қаватлар сони 16</t>
  </si>
  <si>
    <t>https://maps.app.goo.gl/9tXhcN1gakyCKWUt9</t>
  </si>
  <si>
    <t xml:space="preserve"> Қушбеги МФЙ,  Бошлиқ 4-тор кўчаси 10-10а-10б-уй манзилида жойлашган худуд </t>
  </si>
  <si>
    <t>Реновация                            қаватлар сони 9</t>
  </si>
  <si>
    <t xml:space="preserve">Савдо маиший кўп хонадонли турар жой </t>
  </si>
  <si>
    <t>https://maps.app.goo.gl/dAgSStZ9hspgZ6QC6</t>
  </si>
  <si>
    <t>Дилбулоқ МФЙ,  Ш.Руставели кўчасида жойлашган собиқ тўқимачилик стадиони ва Қушбеги худуди</t>
  </si>
  <si>
    <t>Реконструкция                         қаватлар сони 9</t>
  </si>
  <si>
    <t>Реконстукция қаватлар сони 25</t>
  </si>
  <si>
    <t>Йирик савдо маркази, меҳмонхона, кўп қаватли турар жой, Бизнес марказ ва спорт мажмуаси</t>
  </si>
  <si>
    <t>https://maps.app.goo.gl/qn52dGgd4EhXauBv5</t>
  </si>
  <si>
    <t>Дамариқ МФЙ,  Нукус, Абдулла Қаххор ва Кичик Бешёғоч кўчалари худуди</t>
  </si>
  <si>
    <t>Реконстукция қаватлар сони 16-25</t>
  </si>
  <si>
    <t>https://maps.app.goo.gl/VasTfiEYVUbfjR3N9</t>
  </si>
  <si>
    <t>Мухандислар МФЙ худуди</t>
  </si>
  <si>
    <t>https://maps.app.goo.gl/BuQ3xHcqnnZDpVML8</t>
  </si>
  <si>
    <t xml:space="preserve">Дилбулоқ МФЙ,  Ш.Руставели ва Кичик ҳалқа йўли кўчалари оралиғида </t>
  </si>
  <si>
    <t>Реконстукция қаватлар сони 12 ва 25</t>
  </si>
  <si>
    <t>https://maps.app.goo.gl/MSTA29WZf4hiMSs26</t>
  </si>
  <si>
    <t xml:space="preserve">Тўқимачи МФЙ, Ш.Руставели, Сафдош ва Боғибўстон кўчалари оралиғи худудида    </t>
  </si>
  <si>
    <t>https://maps.app.goo.gl/NEHBqMRYZxs7B5Ut7</t>
  </si>
  <si>
    <t xml:space="preserve"> Конституция МФЙ,  Тафаккур кўчаси 57/2 ва 57/1-уй манзил худуди </t>
  </si>
  <si>
    <t>Реновация            қаватлар сони 9</t>
  </si>
  <si>
    <t xml:space="preserve">Кўп хонадонли турар жой   </t>
  </si>
  <si>
    <t>https://maps.app.goo.gl/JXtGHKYet2ELAMM46</t>
  </si>
  <si>
    <t>Дилбулоқ МФЙ,  Ш.Руставели 69А ва 71А уйлар</t>
  </si>
  <si>
    <t>https://maps.app.goo.gl/9Eorosqt5EXKEfh79</t>
  </si>
  <si>
    <t xml:space="preserve"> Бобур МФЙ,  Бобур кўчаси 73А-уй </t>
  </si>
  <si>
    <t>Реконстукция қаватлар сони 16</t>
  </si>
  <si>
    <t>https://maps.app.goo.gl/2zti6EJceUS6or1j9</t>
  </si>
  <si>
    <t xml:space="preserve">Шохжахон МФЙ,  Жамшид Шоший, 2-тор кўчаси манзили худуди </t>
  </si>
  <si>
    <t>Реновация            қаватлар сони 13</t>
  </si>
  <si>
    <t>https://maps.app.goo.gl/CgNbnsW3NqEoJScu9</t>
  </si>
  <si>
    <t xml:space="preserve">Дилбулоқ МФЙ, Қушбеги кўчаси ва Ш.Руставели 1-тор кўчаси, манзилида жойлашган худуд </t>
  </si>
  <si>
    <t>Реконстукция қаватлар сони 23</t>
  </si>
  <si>
    <t xml:space="preserve">Савдо маиший, Мехмонхона, кўп хонадонли турар жой ва бизнес марказлар  </t>
  </si>
  <si>
    <t>https://maps.app.goo.gl/Ryy4194j2wGnM5qW7</t>
  </si>
  <si>
    <t>Белариқ МФЙ,  Бўрижар ва Баходир кўчаси оралиғида</t>
  </si>
  <si>
    <t>Реновация            қаватлар сони 16-45</t>
  </si>
  <si>
    <t>Савдо маиший кўп хонадонли турар жой ва бизнес марказла</t>
  </si>
  <si>
    <t>https://maps.app.goo.gl/Q8SeLpxuQJA6xrgy6</t>
  </si>
  <si>
    <t>Мерос МФЙ,  Чўпонота ва С.Сирожиддинов кўчаси ва бўрижар канал оралиғи</t>
  </si>
  <si>
    <t>Реконструкция                         қаватлар сони 3</t>
  </si>
  <si>
    <t xml:space="preserve">Савдо маиший кўп хонадонли турар жой ва бизнес марказлар  </t>
  </si>
  <si>
    <t>https://maps.app.goo.gl/Xiv3qJj7xHgJCjP68</t>
  </si>
  <si>
    <t>Хамид Сулаймонов МФЙ,  Мингузар ва Миробод кўчалари</t>
  </si>
  <si>
    <t>Реконстукция қаватлар сони 12</t>
  </si>
  <si>
    <t>https://maps.app.goo.gl/Kjnw2owHkWZj8Suk7</t>
  </si>
  <si>
    <t>Конституция МФЙ, Яккасарой туман хокимлиги худуди</t>
  </si>
  <si>
    <t>Реконструкция          
 (4 қават)</t>
  </si>
  <si>
    <t>https://maps.app.goo.gl/Kjnw2owHkWZj8Suk8</t>
  </si>
  <si>
    <t xml:space="preserve"> Яккасарой МФЙ,  Чўпонота кўчаси </t>
  </si>
  <si>
    <t>Реконструкция                         қаватлар сони 6</t>
  </si>
  <si>
    <t xml:space="preserve">Савдо маиший кўп хонадонли турар жой ва бизнес марказлар    </t>
  </si>
  <si>
    <t>https://maps.app.goo.gl/KSSP8LkyR8YrFJHh7</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</si>
</sst>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_-* #,##0 _s_o_ʻ_m_-"/>
  </numFmts>
  <fonts count="7" x14ac:knownFonts="1">
    <font>
      <sz val="11"/>
      <color theme="1"/>
      <name val="Calibri"/>
      <family val="2"/>
      <scheme val="minor"/>
    </font>
    <font>
      <b/>
      <sz val="12"/>
      <color rgb="FF000000"/>
      <name val="Calibri"/>
      <family val="2"/>
    </font>
    <font>
      <sz val="12"/>
      <color rgb="FF000000"/>
      <name val="Calibri"/>
      <family val="2"/>
    </font>
    <font>
      <u/>
      <sz val="11"/>
      <color rgb="FF000000"/>
      <name val="Calibri"/>
      <family val="2"/>
    </font>
    <font>
      <sz val="11"/>
      <color theme="1"/>
      <name val="Calibri"/>
      <family val="2"/>
    </font>
    <font>
      <sz val="12"/>
      <color rgb="FF000000"/>
      <name val="Calibri Light"/>
      <family val="2"/>
    </font>
    <font>
      <sz val="11"/>
      <color theme="1"/>
      <name val="Calibri"/>
      <family val="2"/>
    </font>
  </fonts>
  <fills count="14">
    <fill>
      <patternFill patternType="none"/>
    </fill>
    <fill>
      <patternFill patternType="gray125"/>
    </fill>
    <fill>
      <patternFill patternType="solid">
        <fgColor rgb="FFd9d9d9"/>
      </patternFill>
    </fill>
    <fill>
      <patternFill patternType="solid">
        <fgColor rgb="FF66ffcc"/>
      </patternFill>
    </fill>
    <fill>
      <patternFill patternType="solid">
        <fgColor rgb="FFffcccc"/>
      </patternFill>
    </fill>
    <fill>
      <patternFill patternType="solid">
        <fgColor rgb="FFf8cbad"/>
      </patternFill>
    </fill>
    <fill>
      <patternFill patternType="solid">
        <fgColor rgb="FFc5e0b4"/>
      </patternFill>
    </fill>
    <fill>
      <patternFill patternType="solid">
        <fgColor rgb="FFdae3f3"/>
      </patternFill>
    </fill>
    <fill>
      <patternFill patternType="solid">
        <fgColor rgb="FFffd966"/>
      </patternFill>
    </fill>
    <fill>
      <patternFill patternType="solid">
        <fgColor rgb="FFcc99ff"/>
      </patternFill>
    </fill>
    <fill>
      <patternFill patternType="solid">
        <fgColor rgb="FFccffff"/>
      </patternFill>
    </fill>
    <fill>
      <patternFill patternType="solid">
        <fgColor rgb="FFffffcc"/>
      </patternFill>
    </fill>
    <fill>
      <patternFill patternType="solid">
        <fgColor rgb="FFffffff"/>
      </patternFill>
    </fill>
    <fill>
      <patternFill patternType="solid">
        <fgColor rgb="FF66ccff"/>
      </patternFill>
    </fill>
  </fills>
  <borders count="13">
    <border>
      <left/>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c6c6c6"/>
      </bottom>
      <diagonal/>
    </border>
    <border>
      <left style="thin">
        <color rgb="FF000000"/>
      </left>
      <right style="thin">
        <color rgb="FF000000"/>
      </right>
      <top style="thin">
        <color rgb="FF000000"/>
      </top>
      <bottom style="thin">
        <color rgb="FFc6c6c6"/>
      </bottom>
      <diagonal/>
    </border>
    <border>
      <left style="thin">
        <color rgb="FF000000"/>
      </left>
      <right style="medium">
        <color rgb="FF000000"/>
      </right>
      <top style="thin">
        <color rgb="FF000000"/>
      </top>
      <bottom style="thin">
        <color rgb="FFc6c6c6"/>
      </bottom>
      <diagonal/>
    </border>
    <border>
      <left style="thin">
        <color rgb="FF000000"/>
      </left>
      <right style="thin">
        <color rgb="FF000000"/>
      </right>
      <top style="thin">
        <color rgb="FF000000"/>
      </top>
      <bottom/>
      <diagonal/>
    </border>
    <border>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01">
    <xf xfId="0" numFmtId="0" borderId="0" fontId="0" fillId="0"/>
    <xf xfId="0" numFmtId="0" borderId="0" fontId="0" fillId="0" applyAlignment="1">
      <alignment wrapText="1"/>
    </xf>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0" borderId="2" applyBorder="1" fontId="1" applyFont="1" fillId="0" applyAlignment="1">
      <alignment horizontal="center" wrapText="1"/>
    </xf>
    <xf xfId="0" numFmtId="0" borderId="3" applyBorder="1" fontId="1" applyFont="1" fillId="2" applyFill="1" applyAlignment="1">
      <alignment horizontal="center" wrapText="1"/>
    </xf>
    <xf xfId="0" numFmtId="0" borderId="4" applyBorder="1" fontId="1" applyFont="1" fillId="2" applyFill="1" applyAlignment="1">
      <alignment horizontal="center" wrapText="1"/>
    </xf>
    <xf xfId="0" numFmtId="3" applyNumberFormat="1" borderId="4" applyBorder="1" fontId="1" applyFont="1" fillId="2" applyFill="1" applyAlignment="1">
      <alignment horizontal="center" wrapText="1"/>
    </xf>
    <xf xfId="0" numFmtId="0" borderId="5" applyBorder="1" fontId="1" applyFont="1" fillId="2" applyFill="1" applyAlignment="1">
      <alignment horizontal="center" wrapText="1"/>
    </xf>
    <xf xfId="0" numFmtId="3" applyNumberFormat="1" borderId="6" applyBorder="1" fontId="1" applyFont="1" fillId="0" applyAlignment="1">
      <alignment horizontal="center" wrapText="1"/>
    </xf>
    <xf xfId="0" numFmtId="1" applyNumberFormat="1" borderId="7" applyBorder="1" fontId="1" applyFont="1" fillId="0" applyAlignment="1">
      <alignment horizontal="center" wrapText="1"/>
    </xf>
    <xf xfId="0" numFmtId="1" applyNumberFormat="1" borderId="1" applyBorder="1" fontId="1" applyFont="1" fillId="0" applyAlignment="1">
      <alignment horizontal="center" wrapText="1"/>
    </xf>
    <xf xfId="0" numFmtId="1" applyNumberFormat="1" borderId="2" applyBorder="1" fontId="1" applyFont="1" fillId="0" applyAlignment="1">
      <alignment horizontal="center" wrapText="1"/>
    </xf>
    <xf xfId="0" numFmtId="0" borderId="0" fontId="0" fillId="0" applyAlignment="1">
      <alignment horizontal="general" wrapText="1"/>
    </xf>
    <xf xfId="0" numFmtId="3" applyNumberFormat="1" borderId="8" applyBorder="1" fontId="2" applyFont="1" fillId="3" applyFill="1" applyAlignment="1">
      <alignment horizontal="center" wrapText="1"/>
    </xf>
    <xf xfId="0" numFmtId="0" borderId="8" applyBorder="1" fontId="2" applyFont="1" fillId="3" applyFill="1" applyAlignment="1">
      <alignment horizontal="center" wrapText="1"/>
    </xf>
    <xf xfId="0" numFmtId="4" applyNumberFormat="1" borderId="8" applyBorder="1" fontId="2" applyFont="1" fillId="3" applyFill="1" applyAlignment="1">
      <alignment horizontal="center" wrapText="1"/>
    </xf>
    <xf xfId="0" numFmtId="3" applyNumberFormat="1" borderId="8" applyBorder="1" fontId="2" applyFont="1" fillId="0" applyAlignment="1">
      <alignment horizontal="center" wrapText="1"/>
    </xf>
    <xf xfId="0" numFmtId="0" borderId="0" fontId="0" fillId="0" applyAlignment="1">
      <alignment horizontal="general"/>
    </xf>
    <xf xfId="0" numFmtId="0" borderId="8" applyBorder="1" fontId="3" applyFont="1" fillId="3" applyFill="1" applyAlignment="1">
      <alignment horizontal="center" wrapText="1"/>
    </xf>
    <xf xfId="0" numFmtId="1" applyNumberFormat="1" borderId="8" applyBorder="1" fontId="2" applyFont="1" fillId="3" applyFill="1" applyAlignment="1">
      <alignment horizontal="center" wrapText="1"/>
    </xf>
    <xf xfId="0" numFmtId="3" applyNumberFormat="1" borderId="9" applyBorder="1" fontId="2" applyFont="1" fillId="0" applyAlignment="1">
      <alignment horizontal="center" wrapText="1"/>
    </xf>
    <xf xfId="0" numFmtId="0" borderId="9" applyBorder="1" fontId="2" applyFont="1" fillId="0" applyAlignment="1">
      <alignment horizontal="center" wrapText="1"/>
    </xf>
    <xf xfId="0" numFmtId="1" applyNumberFormat="1" borderId="8" applyBorder="1" fontId="2" applyFont="1" fillId="0" applyAlignment="1">
      <alignment horizontal="center" wrapText="1"/>
    </xf>
    <xf xfId="0" numFmtId="3" applyNumberFormat="1" borderId="10" applyBorder="1" fontId="2" applyFont="1" fillId="4" applyFill="1" applyAlignment="1">
      <alignment horizontal="center" wrapText="1"/>
    </xf>
    <xf xfId="0" numFmtId="0" borderId="10" applyBorder="1" fontId="2" applyFont="1" fillId="4" applyFill="1" applyAlignment="1">
      <alignment horizontal="center" wrapText="1"/>
    </xf>
    <xf xfId="0" numFmtId="4" applyNumberFormat="1" borderId="10" applyBorder="1" fontId="2" applyFont="1" fillId="4" applyFill="1" applyAlignment="1">
      <alignment horizontal="center" wrapText="1"/>
    </xf>
    <xf xfId="0" numFmtId="3" applyNumberFormat="1" borderId="8" applyBorder="1" fontId="4" applyFont="1" fillId="0" applyAlignment="1">
      <alignment horizontal="center" wrapText="1"/>
    </xf>
    <xf xfId="0" numFmtId="1" applyNumberFormat="1" borderId="8" applyBorder="1" fontId="2" applyFont="1" fillId="4" applyFill="1" applyAlignment="1">
      <alignment horizontal="center" wrapText="1"/>
    </xf>
    <xf xfId="0" numFmtId="3" applyNumberFormat="1" borderId="11" applyBorder="1" fontId="2" applyFont="1" fillId="0" applyAlignment="1">
      <alignment horizontal="center"/>
    </xf>
    <xf xfId="0" numFmtId="3" applyNumberFormat="1" borderId="8" applyBorder="1" fontId="2" applyFont="1" fillId="5" applyFill="1" applyAlignment="1">
      <alignment horizontal="center" wrapText="1"/>
    </xf>
    <xf xfId="0" numFmtId="0" borderId="8" applyBorder="1" fontId="2" applyFont="1" fillId="5" applyFill="1" applyAlignment="1">
      <alignment horizontal="center" wrapText="1"/>
    </xf>
    <xf xfId="0" numFmtId="4" applyNumberFormat="1" borderId="8" applyBorder="1" fontId="2" applyFont="1" fillId="5" applyFill="1" applyAlignment="1">
      <alignment horizontal="center" wrapText="1"/>
    </xf>
    <xf xfId="0" numFmtId="1" applyNumberFormat="1" borderId="8" applyBorder="1" fontId="2" applyFont="1" fillId="5" applyFill="1" applyAlignment="1">
      <alignment horizontal="center" wrapText="1"/>
    </xf>
    <xf xfId="0" numFmtId="3" applyNumberFormat="1" borderId="11" applyBorder="1" fontId="4" applyFont="1" fillId="0" applyAlignment="1">
      <alignment horizontal="center" wrapText="1"/>
    </xf>
    <xf xfId="0" numFmtId="0" borderId="11" applyBorder="1" fontId="4" applyFont="1" fillId="0" applyAlignment="1">
      <alignment horizontal="center" wrapText="1"/>
    </xf>
    <xf xfId="0" numFmtId="0" borderId="8" applyBorder="1" fontId="3" applyFont="1" fillId="5" applyFill="1" applyAlignment="1">
      <alignment horizontal="center" wrapText="1"/>
    </xf>
    <xf xfId="0" numFmtId="0" borderId="8" applyBorder="1" fontId="2" applyFont="1" fillId="0" applyAlignment="1">
      <alignment horizontal="center" wrapText="1"/>
    </xf>
    <xf xfId="0" numFmtId="4" applyNumberFormat="1" borderId="8" applyBorder="1" fontId="2" applyFont="1" fillId="0" applyAlignment="1">
      <alignment horizontal="center" wrapText="1"/>
    </xf>
    <xf xfId="0" numFmtId="0" borderId="8" applyBorder="1" fontId="3" applyFont="1" fillId="0" applyAlignment="1">
      <alignment horizontal="center" wrapText="1"/>
    </xf>
    <xf xfId="0" numFmtId="3" applyNumberFormat="1" borderId="10" applyBorder="1" fontId="2" applyFont="1" fillId="6" applyFill="1" applyAlignment="1">
      <alignment horizontal="center" wrapText="1"/>
    </xf>
    <xf xfId="0" numFmtId="0" borderId="10" applyBorder="1" fontId="2" applyFont="1" fillId="6" applyFill="1" applyAlignment="1">
      <alignment horizontal="center" wrapText="1"/>
    </xf>
    <xf xfId="0" numFmtId="4" applyNumberFormat="1" borderId="10" applyBorder="1" fontId="2" applyFont="1" fillId="6" applyFill="1" applyAlignment="1">
      <alignment horizontal="center" wrapText="1"/>
    </xf>
    <xf xfId="0" numFmtId="3" applyNumberFormat="1" borderId="8" applyBorder="1" fontId="4" applyFont="1" fillId="0" applyAlignment="1">
      <alignment horizontal="center"/>
    </xf>
    <xf xfId="0" numFmtId="1" applyNumberFormat="1" borderId="8" applyBorder="1" fontId="2" applyFont="1" fillId="6" applyFill="1" applyAlignment="1">
      <alignment horizontal="center" wrapText="1"/>
    </xf>
    <xf xfId="0" numFmtId="3" applyNumberFormat="1" borderId="8" applyBorder="1" fontId="2" applyFont="1" fillId="0" applyAlignment="1">
      <alignment horizontal="center"/>
    </xf>
    <xf xfId="0" numFmtId="3" applyNumberFormat="1" borderId="10" applyBorder="1" fontId="2" applyFont="1" fillId="7" applyFill="1" applyAlignment="1">
      <alignment horizontal="center" wrapText="1"/>
    </xf>
    <xf xfId="0" numFmtId="0" borderId="10" applyBorder="1" fontId="2" applyFont="1" fillId="7" applyFill="1" applyAlignment="1">
      <alignment horizontal="center" wrapText="1"/>
    </xf>
    <xf xfId="0" numFmtId="4" applyNumberFormat="1" borderId="10" applyBorder="1" fontId="2" applyFont="1" fillId="7" applyFill="1" applyAlignment="1">
      <alignment horizontal="center" wrapText="1"/>
    </xf>
    <xf xfId="0" numFmtId="1" applyNumberFormat="1" borderId="8" applyBorder="1" fontId="2" applyFont="1" fillId="7" applyFill="1" applyAlignment="1">
      <alignment horizontal="center" wrapText="1"/>
    </xf>
    <xf xfId="0" numFmtId="0" borderId="8" applyBorder="1" fontId="2" applyFont="1" fillId="7" applyFill="1" applyAlignment="1">
      <alignment horizontal="center" wrapText="1"/>
    </xf>
    <xf xfId="0" numFmtId="0" borderId="10" applyBorder="1" fontId="3" applyFont="1" fillId="7" applyFill="1" applyAlignment="1">
      <alignment horizontal="center" wrapText="1"/>
    </xf>
    <xf xfId="0" numFmtId="3" applyNumberFormat="1" borderId="8" applyBorder="1" fontId="2" applyFont="1" fillId="7" applyFill="1" applyAlignment="1">
      <alignment horizontal="center" wrapText="1"/>
    </xf>
    <xf xfId="0" numFmtId="4" applyNumberFormat="1" borderId="8" applyBorder="1" fontId="2" applyFont="1" fillId="7" applyFill="1" applyAlignment="1">
      <alignment horizontal="center" wrapText="1"/>
    </xf>
    <xf xfId="0" numFmtId="4" applyNumberFormat="1" borderId="9" applyBorder="1" fontId="2" applyFont="1" fillId="0" applyAlignment="1">
      <alignment horizontal="center" wrapText="1"/>
    </xf>
    <xf xfId="0" numFmtId="3" applyNumberFormat="1" borderId="8" applyBorder="1" fontId="4" applyFont="1" fillId="6" applyFill="1" applyAlignment="1">
      <alignment horizontal="center" wrapText="1"/>
    </xf>
    <xf xfId="0" numFmtId="0" borderId="8" applyBorder="1" fontId="5" applyFont="1" fillId="6" applyFill="1" applyAlignment="1">
      <alignment horizontal="center" wrapText="1"/>
    </xf>
    <xf xfId="0" numFmtId="0" borderId="8" applyBorder="1" fontId="2" applyFont="1" fillId="6" applyFill="1" applyAlignment="1">
      <alignment horizontal="center" wrapText="1"/>
    </xf>
    <xf xfId="0" numFmtId="4" applyNumberFormat="1" borderId="8" applyBorder="1" fontId="2" applyFont="1" fillId="6" applyFill="1" applyAlignment="1">
      <alignment horizontal="center" wrapText="1"/>
    </xf>
    <xf xfId="0" numFmtId="3" applyNumberFormat="1" borderId="8" applyBorder="1" fontId="2" applyFont="1" fillId="6" applyFill="1" applyAlignment="1">
      <alignment horizontal="center" wrapText="1"/>
    </xf>
    <xf xfId="0" numFmtId="0" borderId="10" applyBorder="1" fontId="5" applyFont="1" fillId="6" applyFill="1" applyAlignment="1">
      <alignment horizontal="center" wrapText="1"/>
    </xf>
    <xf xfId="0" numFmtId="3" applyNumberFormat="1" borderId="10" applyBorder="1" fontId="4" applyFont="1" fillId="6" applyFill="1" applyAlignment="1">
      <alignment horizontal="center" wrapText="1"/>
    </xf>
    <xf xfId="0" numFmtId="0" borderId="8" applyBorder="1" fontId="3" applyFont="1" fillId="6" applyFill="1" applyAlignment="1">
      <alignment horizontal="center" wrapText="1"/>
    </xf>
    <xf xfId="0" numFmtId="0" borderId="9" applyBorder="1" fontId="5" applyFont="1" fillId="0" applyAlignment="1">
      <alignment horizontal="center" wrapText="1"/>
    </xf>
    <xf xfId="0" numFmtId="3" applyNumberFormat="1" borderId="8" applyBorder="1" fontId="2" applyFont="1" fillId="8" applyFill="1" applyAlignment="1">
      <alignment horizontal="center" wrapText="1"/>
    </xf>
    <xf xfId="0" numFmtId="0" borderId="8" applyBorder="1" fontId="2" applyFont="1" fillId="8" applyFill="1" applyAlignment="1">
      <alignment horizontal="center" wrapText="1"/>
    </xf>
    <xf xfId="0" numFmtId="4" applyNumberFormat="1" borderId="8" applyBorder="1" fontId="2" applyFont="1" fillId="8" applyFill="1" applyAlignment="1">
      <alignment horizontal="center" wrapText="1"/>
    </xf>
    <xf xfId="0" numFmtId="1" applyNumberFormat="1" borderId="8" applyBorder="1" fontId="2" applyFont="1" fillId="8" applyFill="1" applyAlignment="1">
      <alignment horizontal="center" wrapText="1"/>
    </xf>
    <xf xfId="0" numFmtId="3" applyNumberFormat="1" borderId="8" applyBorder="1" fontId="2" applyFont="1" fillId="9" applyFill="1" applyAlignment="1">
      <alignment horizontal="center" wrapText="1"/>
    </xf>
    <xf xfId="0" numFmtId="0" borderId="8" applyBorder="1" fontId="2" applyFont="1" fillId="9" applyFill="1" applyAlignment="1">
      <alignment horizontal="center" wrapText="1"/>
    </xf>
    <xf xfId="0" numFmtId="4" applyNumberFormat="1" borderId="8" applyBorder="1" fontId="2" applyFont="1" fillId="9" applyFill="1" applyAlignment="1">
      <alignment horizontal="center" wrapText="1"/>
    </xf>
    <xf xfId="0" numFmtId="164" applyNumberFormat="1" borderId="8" applyBorder="1" fontId="2" applyFont="1" fillId="9" applyFill="1" applyAlignment="1">
      <alignment horizontal="center" wrapText="1"/>
    </xf>
    <xf xfId="0" numFmtId="1" applyNumberFormat="1" borderId="8" applyBorder="1" fontId="2" applyFont="1" fillId="9" applyFill="1" applyAlignment="1">
      <alignment horizontal="center" wrapText="1"/>
    </xf>
    <xf xfId="0" numFmtId="0" borderId="10" applyBorder="1" fontId="2" applyFont="1" fillId="9" applyFill="1" applyAlignment="1">
      <alignment horizontal="center" wrapText="1"/>
    </xf>
    <xf xfId="0" numFmtId="3" applyNumberFormat="1" borderId="8" applyBorder="1" fontId="6" applyFont="1" fillId="0" applyAlignment="1">
      <alignment horizontal="center" wrapText="1"/>
    </xf>
    <xf xfId="0" numFmtId="3" applyNumberFormat="1" borderId="10" applyBorder="1" fontId="2" applyFont="1" fillId="10" applyFill="1" applyAlignment="1">
      <alignment horizontal="center" wrapText="1"/>
    </xf>
    <xf xfId="0" numFmtId="0" borderId="10" applyBorder="1" fontId="2" applyFont="1" fillId="10" applyFill="1" applyAlignment="1">
      <alignment horizontal="center" wrapText="1"/>
    </xf>
    <xf xfId="0" numFmtId="4" applyNumberFormat="1" borderId="10" applyBorder="1" fontId="2" applyFont="1" fillId="10" applyFill="1" applyAlignment="1">
      <alignment horizontal="center" wrapText="1"/>
    </xf>
    <xf xfId="0" numFmtId="1" applyNumberFormat="1" borderId="8" applyBorder="1" fontId="2" applyFont="1" fillId="10" applyFill="1" applyAlignment="1">
      <alignment horizontal="center" wrapText="1"/>
    </xf>
    <xf xfId="0" numFmtId="1" applyNumberFormat="1" borderId="9" applyBorder="1" fontId="2" applyFont="1" fillId="0" applyAlignment="1">
      <alignment horizontal="center" wrapText="1"/>
    </xf>
    <xf xfId="0" numFmtId="3" applyNumberFormat="1" borderId="10" applyBorder="1" fontId="2" applyFont="1" fillId="5" applyFill="1" applyAlignment="1">
      <alignment horizontal="center" wrapText="1"/>
    </xf>
    <xf xfId="0" numFmtId="0" borderId="10" applyBorder="1" fontId="2" applyFont="1" fillId="5" applyFill="1" applyAlignment="1">
      <alignment horizontal="center" wrapText="1"/>
    </xf>
    <xf xfId="0" numFmtId="4" applyNumberFormat="1" borderId="10" applyBorder="1" fontId="2" applyFont="1" fillId="5" applyFill="1" applyAlignment="1">
      <alignment horizontal="center" wrapText="1"/>
    </xf>
    <xf xfId="0" numFmtId="1" applyNumberFormat="1" borderId="10" applyBorder="1" fontId="2" applyFont="1" fillId="5" applyFill="1" applyAlignment="1">
      <alignment horizontal="center" wrapText="1"/>
    </xf>
    <xf xfId="0" numFmtId="3" applyNumberFormat="1" borderId="10" applyBorder="1" fontId="2" applyFont="1" fillId="11" applyFill="1" applyAlignment="1">
      <alignment horizontal="center" wrapText="1"/>
    </xf>
    <xf xfId="0" numFmtId="0" borderId="10" applyBorder="1" fontId="2" applyFont="1" fillId="11" applyFill="1" applyAlignment="1">
      <alignment horizontal="center" wrapText="1"/>
    </xf>
    <xf xfId="0" numFmtId="4" applyNumberFormat="1" borderId="10" applyBorder="1" fontId="2" applyFont="1" fillId="11" applyFill="1" applyAlignment="1">
      <alignment horizontal="center" wrapText="1"/>
    </xf>
    <xf xfId="0" numFmtId="1" applyNumberFormat="1" borderId="10" applyBorder="1" fontId="2" applyFont="1" fillId="11" applyFill="1" applyAlignment="1">
      <alignment horizontal="center" wrapText="1"/>
    </xf>
    <xf xfId="0" numFmtId="3" applyNumberFormat="1" borderId="10" applyBorder="1" fontId="2" applyFont="1" fillId="12" applyFill="1" applyAlignment="1">
      <alignment horizontal="center" wrapText="1"/>
    </xf>
    <xf xfId="0" numFmtId="3" applyNumberFormat="1" borderId="12" applyBorder="1" fontId="2" applyFont="1" fillId="12" applyFill="1" applyAlignment="1">
      <alignment horizontal="center"/>
    </xf>
    <xf xfId="0" numFmtId="4" applyNumberFormat="1" borderId="11" applyBorder="1" fontId="2" applyFont="1" fillId="0" applyAlignment="1">
      <alignment horizontal="center"/>
    </xf>
    <xf xfId="0" numFmtId="3" applyNumberFormat="1" borderId="8" applyBorder="1" fontId="2" applyFont="1" fillId="13" applyFill="1" applyAlignment="1">
      <alignment horizontal="center" wrapText="1"/>
    </xf>
    <xf xfId="0" numFmtId="0" borderId="8" applyBorder="1" fontId="2" applyFont="1" fillId="13" applyFill="1" applyAlignment="1">
      <alignment horizontal="center" wrapText="1"/>
    </xf>
    <xf xfId="0" numFmtId="1" applyNumberFormat="1" borderId="8" applyBorder="1" fontId="2" applyFont="1" fillId="13" applyFill="1" applyAlignment="1">
      <alignment horizontal="center" wrapText="1"/>
    </xf>
    <xf xfId="0" numFmtId="4" applyNumberFormat="1" borderId="8" applyBorder="1" fontId="2" applyFont="1" fillId="13" applyFill="1" applyAlignment="1">
      <alignment horizontal="center" wrapText="1"/>
    </xf>
    <xf xfId="0" numFmtId="3" applyNumberFormat="1" borderId="0" fontId="0" fillId="0" applyAlignment="1">
      <alignment horizontal="center" wrapText="1"/>
    </xf>
    <xf xfId="0" numFmtId="0" borderId="0" fontId="0" fillId="0" applyAlignment="1">
      <alignment horizontal="center" wrapText="1"/>
    </xf>
    <xf xfId="0" numFmtId="3" applyNumberFormat="1" borderId="0" fontId="0" fillId="0" applyAlignment="1">
      <alignment horizontal="center"/>
    </xf>
    <xf xfId="0" numFmtId="1" applyNumberFormat="1" borderId="0" fontId="0" fillId="0" applyAlignment="1">
      <alignment horizontal="center" wrapText="1"/>
    </xf>
    <xf xfId="0" numFmtId="0" borderId="0" fontId="0" fillId="0" applyAlignment="1">
      <alignment horizontal="general"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440"/>
  <sheetViews>
    <sheetView workbookViewId="0" tabSelected="1"/>
  </sheetViews>
  <sheetFormatPr defaultRowHeight="15" x14ac:dyDescent="0.25"/>
  <cols>
    <col min="1" max="1" style="95" width="7.576428571428571" customWidth="1" bestFit="1"/>
    <col min="2" max="2" style="96" width="20.14785714285714" customWidth="1" bestFit="1"/>
    <col min="3" max="3" style="96" width="33.43357142857143" customWidth="1" bestFit="1"/>
    <col min="4" max="4" style="96" width="28.719285714285714" customWidth="1" bestFit="1"/>
    <col min="5" max="5" style="96" width="19.005" customWidth="1" bestFit="1"/>
    <col min="6" max="6" style="96" width="31.14785714285714" customWidth="1" bestFit="1"/>
    <col min="7" max="7" style="96" width="25.719285714285714" customWidth="1" bestFit="1"/>
    <col min="8" max="8" style="95" width="18.862142857142857" customWidth="1" bestFit="1"/>
    <col min="9" max="9" style="96" width="32.43357142857143" customWidth="1" bestFit="1"/>
    <col min="10" max="10" style="96" width="24.14785714285714" customWidth="1" bestFit="1"/>
    <col min="11" max="11" style="96" width="20.719285714285714" customWidth="1" bestFit="1"/>
    <col min="12" max="12" style="97" width="18.290714285714284" customWidth="1" bestFit="1"/>
    <col min="13" max="13" style="98" width="18.005" customWidth="1" bestFit="1"/>
    <col min="14" max="14" style="98" width="18.005" customWidth="1" bestFit="1"/>
    <col min="15" max="15" style="98" width="19.576428571428572" customWidth="1" bestFit="1"/>
    <col min="16" max="16" style="98" width="18.005" customWidth="1" bestFit="1"/>
    <col min="17" max="17" style="98" width="18.005" customWidth="1" bestFit="1"/>
    <col min="18" max="18" style="98" width="18.005" customWidth="1" bestFit="1"/>
    <col min="19" max="19" style="99" width="25.005" customWidth="1" bestFit="1"/>
    <col min="20" max="20" style="99" width="25.005" customWidth="1" bestFit="1"/>
    <col min="21" max="21" style="99" width="21.433571428571426" customWidth="1" bestFit="1"/>
    <col min="22" max="22" style="100" width="49.14785714285715" customWidth="1" bestFit="1"/>
    <col min="23" max="23" style="99" width="33.14785714285715" customWidth="1" bestFit="1"/>
  </cols>
  <sheetData>
    <row x14ac:dyDescent="0.25" r="1" customHeight="1" ht="93" customFormat="1" s="1">
      <c r="A1" s="2" t="s">
        <v>0</v>
      </c>
      <c r="B1" s="3" t="s">
        <v>1</v>
      </c>
      <c r="C1" s="3" t="s">
        <v>2</v>
      </c>
      <c r="D1" s="4" t="s">
        <v>3</v>
      </c>
      <c r="E1" s="5" t="s">
        <v>4</v>
      </c>
      <c r="F1" s="6" t="s">
        <v>5</v>
      </c>
      <c r="G1" s="6" t="s">
        <v>6</v>
      </c>
      <c r="H1" s="7" t="s">
        <v>7</v>
      </c>
      <c r="I1" s="6" t="s">
        <v>8</v>
      </c>
      <c r="J1" s="6" t="s">
        <v>9</v>
      </c>
      <c r="K1" s="8" t="s">
        <v>10</v>
      </c>
      <c r="L1" s="9" t="s">
        <v>11</v>
      </c>
      <c r="M1" s="10" t="s">
        <v>12</v>
      </c>
      <c r="N1" s="11" t="s">
        <v>13</v>
      </c>
      <c r="O1" s="11" t="s">
        <v>14</v>
      </c>
      <c r="P1" s="11" t="s">
        <v>15</v>
      </c>
      <c r="Q1" s="11" t="s">
        <v>16</v>
      </c>
      <c r="R1" s="12" t="s">
        <v>17</v>
      </c>
      <c r="S1" s="13"/>
      <c r="T1" s="13"/>
      <c r="U1" s="13"/>
      <c r="V1" s="13"/>
      <c r="W1" s="13"/>
    </row>
    <row x14ac:dyDescent="0.25" r="2" customHeight="1" ht="49.5">
      <c r="A2" s="14">
        <v>1</v>
      </c>
      <c r="B2" s="15" t="s">
        <v>18</v>
      </c>
      <c r="C2" s="15" t="s">
        <v>19</v>
      </c>
      <c r="D2" s="15" t="s">
        <v>20</v>
      </c>
      <c r="E2" s="15" t="s">
        <v>21</v>
      </c>
      <c r="F2" s="15" t="s">
        <v>22</v>
      </c>
      <c r="G2" s="15" t="s">
        <v>23</v>
      </c>
      <c r="H2" s="16">
        <v>5.994</v>
      </c>
      <c r="I2" s="15" t="s">
        <v>24</v>
      </c>
      <c r="J2" s="15" t="s">
        <v>25</v>
      </c>
      <c r="K2" s="15" t="s">
        <v>26</v>
      </c>
      <c r="L2" s="17">
        <v>10</v>
      </c>
      <c r="M2" s="14">
        <f>H2*10000*0.25</f>
      </c>
      <c r="N2" s="14">
        <f>M2*L2</f>
      </c>
      <c r="O2" s="14">
        <f>M2*2</f>
      </c>
      <c r="P2" s="14">
        <f>M2*8*0.8</f>
      </c>
      <c r="Q2" s="16">
        <f>P2/65</f>
      </c>
      <c r="R2" s="16">
        <f>Q2*4</f>
      </c>
      <c r="S2" s="13"/>
      <c r="T2" s="13"/>
      <c r="U2" s="13"/>
      <c r="V2" s="18"/>
      <c r="W2" s="13"/>
    </row>
    <row x14ac:dyDescent="0.25" r="3" customHeight="1" ht="34.5">
      <c r="A3" s="14">
        <v>2</v>
      </c>
      <c r="B3" s="15" t="s">
        <v>18</v>
      </c>
      <c r="C3" s="15" t="s">
        <v>27</v>
      </c>
      <c r="D3" s="15" t="s">
        <v>20</v>
      </c>
      <c r="E3" s="15" t="s">
        <v>28</v>
      </c>
      <c r="F3" s="15" t="s">
        <v>29</v>
      </c>
      <c r="G3" s="15" t="s">
        <v>30</v>
      </c>
      <c r="H3" s="16">
        <v>0.04</v>
      </c>
      <c r="I3" s="15" t="s">
        <v>31</v>
      </c>
      <c r="J3" s="15" t="s">
        <v>32</v>
      </c>
      <c r="K3" s="15" t="s">
        <v>26</v>
      </c>
      <c r="L3" s="17">
        <v>3</v>
      </c>
      <c r="M3" s="14">
        <f>H3*10000*0.25</f>
      </c>
      <c r="N3" s="14">
        <f>M3*L3</f>
      </c>
      <c r="O3" s="14">
        <f>M3*L3</f>
      </c>
      <c r="P3" s="14">
        <f>M3*10*0.8</f>
      </c>
      <c r="Q3" s="16">
        <f>P3/65</f>
      </c>
      <c r="R3" s="16">
        <f>Q3*4</f>
      </c>
      <c r="S3" s="13"/>
      <c r="T3" s="13"/>
      <c r="U3" s="13"/>
      <c r="V3" s="18"/>
      <c r="W3" s="13"/>
    </row>
    <row x14ac:dyDescent="0.25" r="4" customHeight="1" ht="49.5">
      <c r="A4" s="14">
        <v>3</v>
      </c>
      <c r="B4" s="15" t="s">
        <v>18</v>
      </c>
      <c r="C4" s="15" t="s">
        <v>33</v>
      </c>
      <c r="D4" s="15" t="s">
        <v>34</v>
      </c>
      <c r="E4" s="15" t="s">
        <v>35</v>
      </c>
      <c r="F4" s="15" t="s">
        <v>36</v>
      </c>
      <c r="G4" s="15" t="s">
        <v>23</v>
      </c>
      <c r="H4" s="16">
        <v>6.6</v>
      </c>
      <c r="I4" s="15" t="s">
        <v>37</v>
      </c>
      <c r="J4" s="15" t="s">
        <v>32</v>
      </c>
      <c r="K4" s="15" t="s">
        <v>38</v>
      </c>
      <c r="L4" s="17">
        <v>9</v>
      </c>
      <c r="M4" s="14">
        <f>H4*10000*0.25</f>
      </c>
      <c r="N4" s="14">
        <f>M4*L4</f>
      </c>
      <c r="O4" s="14">
        <f>M4*2</f>
      </c>
      <c r="P4" s="14">
        <f>M4*7*0.8</f>
      </c>
      <c r="Q4" s="16">
        <f>P4/65</f>
      </c>
      <c r="R4" s="16">
        <f>Q4*4</f>
      </c>
      <c r="S4" s="13"/>
      <c r="T4" s="13"/>
      <c r="U4" s="13"/>
      <c r="V4" s="18"/>
      <c r="W4" s="13"/>
    </row>
    <row x14ac:dyDescent="0.25" r="5" customHeight="1" ht="93">
      <c r="A5" s="14">
        <v>4</v>
      </c>
      <c r="B5" s="15" t="s">
        <v>18</v>
      </c>
      <c r="C5" s="15" t="s">
        <v>39</v>
      </c>
      <c r="D5" s="15" t="s">
        <v>40</v>
      </c>
      <c r="E5" s="15" t="s">
        <v>21</v>
      </c>
      <c r="F5" s="15" t="s">
        <v>41</v>
      </c>
      <c r="G5" s="15" t="s">
        <v>23</v>
      </c>
      <c r="H5" s="16">
        <v>1.1</v>
      </c>
      <c r="I5" s="19" t="s">
        <v>42</v>
      </c>
      <c r="J5" s="15" t="s">
        <v>32</v>
      </c>
      <c r="K5" s="15" t="s">
        <v>26</v>
      </c>
      <c r="L5" s="17">
        <v>13</v>
      </c>
      <c r="M5" s="14">
        <f>H5*10000*0.25</f>
      </c>
      <c r="N5" s="14">
        <f>M5*L5</f>
      </c>
      <c r="O5" s="14">
        <f>M5*3</f>
      </c>
      <c r="P5" s="14">
        <f>M5*10*0.8</f>
      </c>
      <c r="Q5" s="16">
        <f>P5/65</f>
      </c>
      <c r="R5" s="16">
        <f>Q5*4</f>
      </c>
      <c r="S5" s="13"/>
      <c r="T5" s="13"/>
      <c r="U5" s="13"/>
      <c r="V5" s="18"/>
      <c r="W5" s="13"/>
    </row>
    <row x14ac:dyDescent="0.25" r="6" customHeight="1" ht="63.75">
      <c r="A6" s="14">
        <v>5</v>
      </c>
      <c r="B6" s="15" t="s">
        <v>18</v>
      </c>
      <c r="C6" s="15" t="s">
        <v>43</v>
      </c>
      <c r="D6" s="15" t="s">
        <v>44</v>
      </c>
      <c r="E6" s="15" t="s">
        <v>45</v>
      </c>
      <c r="F6" s="15" t="s">
        <v>46</v>
      </c>
      <c r="G6" s="15" t="s">
        <v>23</v>
      </c>
      <c r="H6" s="14">
        <v>150</v>
      </c>
      <c r="I6" s="15" t="s">
        <v>47</v>
      </c>
      <c r="J6" s="15" t="s">
        <v>25</v>
      </c>
      <c r="K6" s="15" t="s">
        <v>48</v>
      </c>
      <c r="L6" s="17">
        <v>8</v>
      </c>
      <c r="M6" s="14">
        <f>H6*10000*0.25</f>
      </c>
      <c r="N6" s="14">
        <f>M6*L6</f>
      </c>
      <c r="O6" s="14">
        <f>M6*3</f>
      </c>
      <c r="P6" s="14">
        <f>M6*8*0.8</f>
      </c>
      <c r="Q6" s="16">
        <f>P6/65</f>
      </c>
      <c r="R6" s="20">
        <f>Q6*4</f>
      </c>
      <c r="S6" s="13"/>
      <c r="T6" s="13"/>
      <c r="U6" s="13"/>
      <c r="V6" s="18"/>
      <c r="W6" s="13"/>
    </row>
    <row x14ac:dyDescent="0.25" r="7" customHeight="1" ht="49.5">
      <c r="A7" s="14">
        <v>6</v>
      </c>
      <c r="B7" s="15" t="s">
        <v>18</v>
      </c>
      <c r="C7" s="15" t="s">
        <v>49</v>
      </c>
      <c r="D7" s="15" t="s">
        <v>50</v>
      </c>
      <c r="E7" s="15" t="s">
        <v>51</v>
      </c>
      <c r="F7" s="15" t="s">
        <v>52</v>
      </c>
      <c r="G7" s="15" t="s">
        <v>23</v>
      </c>
      <c r="H7" s="14">
        <v>48</v>
      </c>
      <c r="I7" s="15" t="s">
        <v>53</v>
      </c>
      <c r="J7" s="15" t="s">
        <v>25</v>
      </c>
      <c r="K7" s="15" t="s">
        <v>48</v>
      </c>
      <c r="L7" s="17">
        <v>10</v>
      </c>
      <c r="M7" s="14">
        <f>H7*10000*0.25</f>
      </c>
      <c r="N7" s="14">
        <f>M7*L7</f>
      </c>
      <c r="O7" s="14">
        <f>M7*3</f>
      </c>
      <c r="P7" s="14">
        <f>M7*8*0.8</f>
      </c>
      <c r="Q7" s="16">
        <f>P7/65</f>
      </c>
      <c r="R7" s="20">
        <f>Q7*4</f>
      </c>
      <c r="S7" s="13"/>
      <c r="T7" s="13"/>
      <c r="U7" s="13"/>
      <c r="V7" s="18"/>
      <c r="W7" s="13"/>
    </row>
    <row x14ac:dyDescent="0.25" r="8" customHeight="1" ht="63.75">
      <c r="A8" s="14">
        <v>7</v>
      </c>
      <c r="B8" s="15" t="s">
        <v>18</v>
      </c>
      <c r="C8" s="15" t="s">
        <v>54</v>
      </c>
      <c r="D8" s="15" t="s">
        <v>55</v>
      </c>
      <c r="E8" s="15" t="s">
        <v>56</v>
      </c>
      <c r="F8" s="15" t="s">
        <v>57</v>
      </c>
      <c r="G8" s="15" t="s">
        <v>23</v>
      </c>
      <c r="H8" s="16">
        <v>10.5</v>
      </c>
      <c r="I8" s="15" t="s">
        <v>58</v>
      </c>
      <c r="J8" s="15" t="s">
        <v>32</v>
      </c>
      <c r="K8" s="15" t="s">
        <v>59</v>
      </c>
      <c r="L8" s="17">
        <v>8</v>
      </c>
      <c r="M8" s="14">
        <f>H8*10000*0.25</f>
      </c>
      <c r="N8" s="14">
        <f>M8*L8</f>
      </c>
      <c r="O8" s="14">
        <f>M8*2</f>
      </c>
      <c r="P8" s="14">
        <f>M8*8*0.8</f>
      </c>
      <c r="Q8" s="16">
        <f>P8/65</f>
      </c>
      <c r="R8" s="16">
        <f>Q8*4</f>
      </c>
      <c r="S8" s="13"/>
      <c r="T8" s="13"/>
      <c r="U8" s="13"/>
      <c r="V8" s="18"/>
      <c r="W8" s="13"/>
    </row>
    <row x14ac:dyDescent="0.25" r="9" customHeight="1" ht="63.75">
      <c r="A9" s="14">
        <v>8</v>
      </c>
      <c r="B9" s="15" t="s">
        <v>18</v>
      </c>
      <c r="C9" s="15" t="s">
        <v>60</v>
      </c>
      <c r="D9" s="15" t="s">
        <v>61</v>
      </c>
      <c r="E9" s="15" t="s">
        <v>56</v>
      </c>
      <c r="F9" s="15" t="s">
        <v>57</v>
      </c>
      <c r="G9" s="15" t="s">
        <v>23</v>
      </c>
      <c r="H9" s="16">
        <v>1.3</v>
      </c>
      <c r="I9" s="15" t="s">
        <v>62</v>
      </c>
      <c r="J9" s="15" t="s">
        <v>32</v>
      </c>
      <c r="K9" s="15" t="s">
        <v>59</v>
      </c>
      <c r="L9" s="17">
        <v>10</v>
      </c>
      <c r="M9" s="14">
        <f>H9*10000*0.25</f>
      </c>
      <c r="N9" s="14">
        <f>M9*L9</f>
      </c>
      <c r="O9" s="14">
        <f>M9*2</f>
      </c>
      <c r="P9" s="14">
        <f>M9*8*0.8</f>
      </c>
      <c r="Q9" s="14">
        <f>P9/65</f>
      </c>
      <c r="R9" s="14">
        <f>Q9*4</f>
      </c>
      <c r="S9" s="13"/>
      <c r="T9" s="13"/>
      <c r="U9" s="13"/>
      <c r="V9" s="18"/>
      <c r="W9" s="13"/>
    </row>
    <row x14ac:dyDescent="0.25" r="10" customHeight="1" ht="63.75">
      <c r="A10" s="14">
        <v>9</v>
      </c>
      <c r="B10" s="15" t="s">
        <v>18</v>
      </c>
      <c r="C10" s="15" t="s">
        <v>63</v>
      </c>
      <c r="D10" s="15" t="s">
        <v>64</v>
      </c>
      <c r="E10" s="15" t="s">
        <v>56</v>
      </c>
      <c r="F10" s="15" t="s">
        <v>57</v>
      </c>
      <c r="G10" s="15" t="s">
        <v>23</v>
      </c>
      <c r="H10" s="16">
        <v>14.5</v>
      </c>
      <c r="I10" s="15" t="s">
        <v>65</v>
      </c>
      <c r="J10" s="15" t="s">
        <v>32</v>
      </c>
      <c r="K10" s="15" t="s">
        <v>59</v>
      </c>
      <c r="L10" s="17">
        <v>8</v>
      </c>
      <c r="M10" s="14">
        <f>H10*10000*0.25</f>
      </c>
      <c r="N10" s="14">
        <f>M10*L10</f>
      </c>
      <c r="O10" s="14">
        <f>M10*3</f>
      </c>
      <c r="P10" s="14">
        <f>M10*6*0.8</f>
      </c>
      <c r="Q10" s="16">
        <f>P10/65</f>
      </c>
      <c r="R10" s="16">
        <f>Q10*4</f>
      </c>
      <c r="S10" s="13"/>
      <c r="T10" s="13"/>
      <c r="U10" s="13"/>
      <c r="V10" s="18"/>
      <c r="W10" s="13"/>
    </row>
    <row x14ac:dyDescent="0.25" r="11" customHeight="1" ht="63.75">
      <c r="A11" s="14">
        <v>10</v>
      </c>
      <c r="B11" s="15" t="s">
        <v>18</v>
      </c>
      <c r="C11" s="15" t="s">
        <v>66</v>
      </c>
      <c r="D11" s="15" t="s">
        <v>64</v>
      </c>
      <c r="E11" s="15" t="s">
        <v>67</v>
      </c>
      <c r="F11" s="15" t="s">
        <v>57</v>
      </c>
      <c r="G11" s="15" t="s">
        <v>23</v>
      </c>
      <c r="H11" s="14">
        <v>43</v>
      </c>
      <c r="I11" s="15" t="s">
        <v>68</v>
      </c>
      <c r="J11" s="15" t="s">
        <v>32</v>
      </c>
      <c r="K11" s="15" t="s">
        <v>59</v>
      </c>
      <c r="L11" s="17">
        <v>8</v>
      </c>
      <c r="M11" s="14">
        <f>H11*10000*0.25</f>
      </c>
      <c r="N11" s="14">
        <f>M11*L11</f>
      </c>
      <c r="O11" s="14">
        <f>M11*3</f>
      </c>
      <c r="P11" s="14">
        <f>M11*6*0.8</f>
      </c>
      <c r="Q11" s="16">
        <f>P11/65</f>
      </c>
      <c r="R11" s="16">
        <f>Q11*4</f>
      </c>
      <c r="S11" s="13"/>
      <c r="T11" s="13"/>
      <c r="U11" s="13"/>
      <c r="V11" s="18"/>
      <c r="W11" s="13"/>
    </row>
    <row x14ac:dyDescent="0.25" r="12" customHeight="1" ht="63.75">
      <c r="A12" s="14">
        <v>11</v>
      </c>
      <c r="B12" s="15" t="s">
        <v>18</v>
      </c>
      <c r="C12" s="15" t="s">
        <v>69</v>
      </c>
      <c r="D12" s="15" t="s">
        <v>64</v>
      </c>
      <c r="E12" s="15" t="s">
        <v>67</v>
      </c>
      <c r="F12" s="15" t="s">
        <v>57</v>
      </c>
      <c r="G12" s="15" t="s">
        <v>23</v>
      </c>
      <c r="H12" s="16">
        <v>3.1</v>
      </c>
      <c r="I12" s="15" t="s">
        <v>70</v>
      </c>
      <c r="J12" s="15" t="s">
        <v>32</v>
      </c>
      <c r="K12" s="15" t="s">
        <v>59</v>
      </c>
      <c r="L12" s="17">
        <v>12</v>
      </c>
      <c r="M12" s="14">
        <f>H12*10000*0.25</f>
      </c>
      <c r="N12" s="14">
        <f>M12*L12</f>
      </c>
      <c r="O12" s="14">
        <f>M12*2</f>
      </c>
      <c r="P12" s="14">
        <f>M12*10*0.8</f>
      </c>
      <c r="Q12" s="16">
        <f>P12/65</f>
      </c>
      <c r="R12" s="16">
        <f>Q12*4</f>
      </c>
      <c r="S12" s="13"/>
      <c r="T12" s="13"/>
      <c r="U12" s="13"/>
      <c r="V12" s="18"/>
      <c r="W12" s="13"/>
    </row>
    <row x14ac:dyDescent="0.25" r="13" customHeight="1" ht="63.75">
      <c r="A13" s="14">
        <v>12</v>
      </c>
      <c r="B13" s="15" t="s">
        <v>18</v>
      </c>
      <c r="C13" s="15" t="s">
        <v>71</v>
      </c>
      <c r="D13" s="15" t="s">
        <v>64</v>
      </c>
      <c r="E13" s="15" t="s">
        <v>72</v>
      </c>
      <c r="F13" s="15" t="s">
        <v>57</v>
      </c>
      <c r="G13" s="15" t="s">
        <v>23</v>
      </c>
      <c r="H13" s="16">
        <v>1.7</v>
      </c>
      <c r="I13" s="15" t="s">
        <v>73</v>
      </c>
      <c r="J13" s="15" t="s">
        <v>32</v>
      </c>
      <c r="K13" s="15" t="s">
        <v>59</v>
      </c>
      <c r="L13" s="17">
        <v>8</v>
      </c>
      <c r="M13" s="14">
        <f>H13*10000*0.25</f>
      </c>
      <c r="N13" s="14">
        <f>M13*L13</f>
      </c>
      <c r="O13" s="14">
        <f>M13*2</f>
      </c>
      <c r="P13" s="14">
        <f>M13*6*0.8</f>
      </c>
      <c r="Q13" s="16">
        <f>P13/65</f>
      </c>
      <c r="R13" s="16">
        <f>Q13*4</f>
      </c>
      <c r="S13" s="13"/>
      <c r="T13" s="13"/>
      <c r="U13" s="13"/>
      <c r="V13" s="18"/>
      <c r="W13" s="13"/>
    </row>
    <row x14ac:dyDescent="0.25" r="14" customHeight="1" ht="18.75">
      <c r="A14" s="14">
        <v>13</v>
      </c>
      <c r="B14" s="15" t="s">
        <v>18</v>
      </c>
      <c r="C14" s="15" t="s">
        <v>74</v>
      </c>
      <c r="D14" s="15" t="s">
        <v>75</v>
      </c>
      <c r="E14" s="15" t="s">
        <v>67</v>
      </c>
      <c r="F14" s="15" t="s">
        <v>57</v>
      </c>
      <c r="G14" s="15" t="s">
        <v>23</v>
      </c>
      <c r="H14" s="14">
        <v>15</v>
      </c>
      <c r="I14" s="15" t="s">
        <v>76</v>
      </c>
      <c r="J14" s="15" t="s">
        <v>32</v>
      </c>
      <c r="K14" s="15" t="s">
        <v>59</v>
      </c>
      <c r="L14" s="17">
        <v>8</v>
      </c>
      <c r="M14" s="14">
        <f>H14*10000*0.25</f>
      </c>
      <c r="N14" s="14">
        <f>M14*L14</f>
      </c>
      <c r="O14" s="14">
        <f>M14*3</f>
      </c>
      <c r="P14" s="14">
        <f>M14*10*0.8</f>
      </c>
      <c r="Q14" s="16">
        <f>P14/65</f>
      </c>
      <c r="R14" s="16">
        <f>Q14*4</f>
      </c>
      <c r="S14" s="13"/>
      <c r="T14" s="13"/>
      <c r="U14" s="13"/>
      <c r="V14" s="18"/>
      <c r="W14" s="13"/>
    </row>
    <row x14ac:dyDescent="0.25" r="15" customHeight="1" ht="18.75">
      <c r="A15" s="14">
        <v>14</v>
      </c>
      <c r="B15" s="15" t="s">
        <v>18</v>
      </c>
      <c r="C15" s="15" t="s">
        <v>77</v>
      </c>
      <c r="D15" s="15" t="s">
        <v>78</v>
      </c>
      <c r="E15" s="15" t="s">
        <v>67</v>
      </c>
      <c r="F15" s="15" t="s">
        <v>79</v>
      </c>
      <c r="G15" s="15" t="s">
        <v>23</v>
      </c>
      <c r="H15" s="14">
        <v>10</v>
      </c>
      <c r="I15" s="15" t="s">
        <v>80</v>
      </c>
      <c r="J15" s="15" t="s">
        <v>32</v>
      </c>
      <c r="K15" s="15" t="s">
        <v>59</v>
      </c>
      <c r="L15" s="17">
        <v>8</v>
      </c>
      <c r="M15" s="14">
        <f>H15*10000*0.25</f>
      </c>
      <c r="N15" s="14">
        <f>M15*L15</f>
      </c>
      <c r="O15" s="14">
        <f>M15*3</f>
      </c>
      <c r="P15" s="14">
        <f>M15*10*0.8</f>
      </c>
      <c r="Q15" s="16">
        <f>P15/65</f>
      </c>
      <c r="R15" s="16">
        <f>Q15*4</f>
      </c>
      <c r="S15" s="13"/>
      <c r="T15" s="13"/>
      <c r="U15" s="13"/>
      <c r="V15" s="18"/>
      <c r="W15" s="13"/>
    </row>
    <row x14ac:dyDescent="0.25" r="16" customHeight="1" ht="18.75">
      <c r="A16" s="14">
        <v>15</v>
      </c>
      <c r="B16" s="15" t="s">
        <v>18</v>
      </c>
      <c r="C16" s="15" t="s">
        <v>81</v>
      </c>
      <c r="D16" s="15" t="s">
        <v>82</v>
      </c>
      <c r="E16" s="15" t="s">
        <v>67</v>
      </c>
      <c r="F16" s="15" t="s">
        <v>57</v>
      </c>
      <c r="G16" s="15" t="s">
        <v>23</v>
      </c>
      <c r="H16" s="14">
        <v>6</v>
      </c>
      <c r="I16" s="15" t="s">
        <v>83</v>
      </c>
      <c r="J16" s="15" t="s">
        <v>32</v>
      </c>
      <c r="K16" s="15" t="s">
        <v>59</v>
      </c>
      <c r="L16" s="17">
        <v>10</v>
      </c>
      <c r="M16" s="14">
        <f>H16*10000*0.25</f>
      </c>
      <c r="N16" s="14">
        <f>M16*L16</f>
      </c>
      <c r="O16" s="14">
        <f>M16*3</f>
      </c>
      <c r="P16" s="14">
        <f>M16*10*0.8</f>
      </c>
      <c r="Q16" s="16">
        <f>P16/65</f>
      </c>
      <c r="R16" s="16">
        <f>Q16*4</f>
      </c>
      <c r="S16" s="13"/>
      <c r="T16" s="13"/>
      <c r="U16" s="13"/>
      <c r="V16" s="18"/>
      <c r="W16" s="13"/>
    </row>
    <row x14ac:dyDescent="0.25" r="17" customHeight="1" ht="18.75">
      <c r="A17" s="14">
        <v>16</v>
      </c>
      <c r="B17" s="15" t="s">
        <v>18</v>
      </c>
      <c r="C17" s="15" t="s">
        <v>84</v>
      </c>
      <c r="D17" s="15" t="s">
        <v>64</v>
      </c>
      <c r="E17" s="15" t="s">
        <v>72</v>
      </c>
      <c r="F17" s="15" t="s">
        <v>85</v>
      </c>
      <c r="G17" s="15" t="s">
        <v>23</v>
      </c>
      <c r="H17" s="14">
        <v>4</v>
      </c>
      <c r="I17" s="15" t="s">
        <v>86</v>
      </c>
      <c r="J17" s="15" t="s">
        <v>32</v>
      </c>
      <c r="K17" s="15" t="s">
        <v>59</v>
      </c>
      <c r="L17" s="17">
        <v>8</v>
      </c>
      <c r="M17" s="14">
        <f>H17*10000*0.25</f>
      </c>
      <c r="N17" s="14">
        <f>M17*L17</f>
      </c>
      <c r="O17" s="14">
        <f>M17*3</f>
      </c>
      <c r="P17" s="14">
        <f>M17*6*0.8</f>
      </c>
      <c r="Q17" s="16">
        <f>P17/65</f>
      </c>
      <c r="R17" s="16">
        <f>Q17*4</f>
      </c>
      <c r="S17" s="13"/>
      <c r="T17" s="13"/>
      <c r="U17" s="13"/>
      <c r="V17" s="18"/>
      <c r="W17" s="13"/>
    </row>
    <row x14ac:dyDescent="0.25" r="18" customHeight="1" ht="18.75">
      <c r="A18" s="14">
        <v>17</v>
      </c>
      <c r="B18" s="15" t="s">
        <v>18</v>
      </c>
      <c r="C18" s="15" t="s">
        <v>87</v>
      </c>
      <c r="D18" s="15" t="s">
        <v>88</v>
      </c>
      <c r="E18" s="15" t="s">
        <v>67</v>
      </c>
      <c r="F18" s="15" t="s">
        <v>89</v>
      </c>
      <c r="G18" s="15" t="s">
        <v>23</v>
      </c>
      <c r="H18" s="16">
        <v>1.8</v>
      </c>
      <c r="I18" s="15" t="s">
        <v>90</v>
      </c>
      <c r="J18" s="15" t="s">
        <v>25</v>
      </c>
      <c r="K18" s="15" t="s">
        <v>59</v>
      </c>
      <c r="L18" s="17">
        <v>12</v>
      </c>
      <c r="M18" s="14">
        <f>H18*10000*0.25</f>
      </c>
      <c r="N18" s="14">
        <f>M18*L18</f>
      </c>
      <c r="O18" s="14">
        <f>M18*2</f>
      </c>
      <c r="P18" s="14">
        <f>M18*10*0.8</f>
      </c>
      <c r="Q18" s="16">
        <f>P18/65</f>
      </c>
      <c r="R18" s="16">
        <f>Q18*4</f>
      </c>
      <c r="S18" s="13"/>
      <c r="T18" s="13"/>
      <c r="U18" s="13"/>
      <c r="V18" s="18"/>
      <c r="W18" s="13"/>
    </row>
    <row x14ac:dyDescent="0.25" r="19" customHeight="1" ht="18.75">
      <c r="A19" s="14">
        <v>18</v>
      </c>
      <c r="B19" s="15" t="s">
        <v>18</v>
      </c>
      <c r="C19" s="15" t="s">
        <v>91</v>
      </c>
      <c r="D19" s="15" t="s">
        <v>92</v>
      </c>
      <c r="E19" s="15" t="s">
        <v>93</v>
      </c>
      <c r="F19" s="15" t="s">
        <v>94</v>
      </c>
      <c r="G19" s="15" t="s">
        <v>23</v>
      </c>
      <c r="H19" s="14">
        <v>15</v>
      </c>
      <c r="I19" s="15" t="s">
        <v>95</v>
      </c>
      <c r="J19" s="15" t="s">
        <v>32</v>
      </c>
      <c r="K19" s="15" t="s">
        <v>59</v>
      </c>
      <c r="L19" s="17">
        <v>8</v>
      </c>
      <c r="M19" s="14">
        <f>H19*10000*0.25</f>
      </c>
      <c r="N19" s="14">
        <f>M19*L19</f>
      </c>
      <c r="O19" s="14">
        <f>M19*3</f>
      </c>
      <c r="P19" s="14">
        <f>M19*7*0.8</f>
      </c>
      <c r="Q19" s="16">
        <f>P19/65</f>
      </c>
      <c r="R19" s="16">
        <f>Q19*4</f>
      </c>
      <c r="S19" s="13"/>
      <c r="T19" s="13"/>
      <c r="U19" s="13"/>
      <c r="V19" s="18"/>
      <c r="W19" s="13"/>
    </row>
    <row x14ac:dyDescent="0.25" r="20" customHeight="1" ht="18.75">
      <c r="A20" s="14">
        <v>19</v>
      </c>
      <c r="B20" s="15" t="s">
        <v>18</v>
      </c>
      <c r="C20" s="15" t="s">
        <v>96</v>
      </c>
      <c r="D20" s="15" t="s">
        <v>97</v>
      </c>
      <c r="E20" s="15" t="s">
        <v>56</v>
      </c>
      <c r="F20" s="15" t="s">
        <v>98</v>
      </c>
      <c r="G20" s="15" t="s">
        <v>23</v>
      </c>
      <c r="H20" s="14">
        <v>40</v>
      </c>
      <c r="I20" s="15" t="s">
        <v>99</v>
      </c>
      <c r="J20" s="15" t="s">
        <v>32</v>
      </c>
      <c r="K20" s="15" t="s">
        <v>59</v>
      </c>
      <c r="L20" s="17">
        <v>8</v>
      </c>
      <c r="M20" s="14">
        <f>H20*10000*0.25</f>
      </c>
      <c r="N20" s="14">
        <f>M20*L20</f>
      </c>
      <c r="O20" s="14">
        <f>M20*3</f>
      </c>
      <c r="P20" s="14">
        <f>M20*7*0.8</f>
      </c>
      <c r="Q20" s="16">
        <f>P20/65</f>
      </c>
      <c r="R20" s="16">
        <f>Q20*4</f>
      </c>
      <c r="S20" s="13"/>
      <c r="T20" s="13"/>
      <c r="U20" s="13"/>
      <c r="V20" s="18"/>
      <c r="W20" s="13"/>
    </row>
    <row x14ac:dyDescent="0.25" r="21" customHeight="1" ht="18.75">
      <c r="A21" s="14">
        <v>20</v>
      </c>
      <c r="B21" s="15" t="s">
        <v>18</v>
      </c>
      <c r="C21" s="15" t="s">
        <v>100</v>
      </c>
      <c r="D21" s="15" t="s">
        <v>101</v>
      </c>
      <c r="E21" s="15" t="s">
        <v>102</v>
      </c>
      <c r="F21" s="15" t="s">
        <v>103</v>
      </c>
      <c r="G21" s="15" t="s">
        <v>104</v>
      </c>
      <c r="H21" s="16">
        <v>0.06</v>
      </c>
      <c r="I21" s="15" t="s">
        <v>105</v>
      </c>
      <c r="J21" s="15" t="s">
        <v>25</v>
      </c>
      <c r="K21" s="15" t="s">
        <v>48</v>
      </c>
      <c r="L21" s="17">
        <v>7</v>
      </c>
      <c r="M21" s="14">
        <f>H21*10000</f>
      </c>
      <c r="N21" s="14">
        <f>M21*L21</f>
      </c>
      <c r="O21" s="14">
        <f>M21*L21</f>
      </c>
      <c r="P21" s="14">
        <v>0</v>
      </c>
      <c r="Q21" s="14">
        <f>P21/65</f>
      </c>
      <c r="R21" s="14">
        <f>Q21*4</f>
      </c>
      <c r="S21" s="13"/>
      <c r="T21" s="13"/>
      <c r="U21" s="13"/>
      <c r="V21" s="18"/>
      <c r="W21" s="13"/>
    </row>
    <row x14ac:dyDescent="0.25" r="22" customHeight="1" ht="18.75">
      <c r="A22" s="14">
        <v>21</v>
      </c>
      <c r="B22" s="15" t="s">
        <v>18</v>
      </c>
      <c r="C22" s="15" t="s">
        <v>106</v>
      </c>
      <c r="D22" s="15" t="s">
        <v>107</v>
      </c>
      <c r="E22" s="15" t="s">
        <v>108</v>
      </c>
      <c r="F22" s="15" t="s">
        <v>109</v>
      </c>
      <c r="G22" s="15" t="s">
        <v>104</v>
      </c>
      <c r="H22" s="16">
        <v>0.07</v>
      </c>
      <c r="I22" s="15" t="s">
        <v>110</v>
      </c>
      <c r="J22" s="15" t="s">
        <v>111</v>
      </c>
      <c r="K22" s="15" t="s">
        <v>48</v>
      </c>
      <c r="L22" s="17">
        <v>7</v>
      </c>
      <c r="M22" s="16">
        <f>H22*10000</f>
      </c>
      <c r="N22" s="16">
        <f>M22*L22</f>
      </c>
      <c r="O22" s="16">
        <f>M22*L22</f>
      </c>
      <c r="P22" s="14">
        <v>0</v>
      </c>
      <c r="Q22" s="14">
        <f>P22/65</f>
      </c>
      <c r="R22" s="14">
        <f>Q22*4</f>
      </c>
      <c r="S22" s="13"/>
      <c r="T22" s="13"/>
      <c r="U22" s="13"/>
      <c r="V22" s="18"/>
      <c r="W22" s="13"/>
    </row>
    <row x14ac:dyDescent="0.25" r="23" customHeight="1" ht="18.75">
      <c r="A23" s="14">
        <v>22</v>
      </c>
      <c r="B23" s="15" t="s">
        <v>18</v>
      </c>
      <c r="C23" s="15" t="s">
        <v>112</v>
      </c>
      <c r="D23" s="15" t="s">
        <v>107</v>
      </c>
      <c r="E23" s="15" t="s">
        <v>108</v>
      </c>
      <c r="F23" s="15" t="s">
        <v>113</v>
      </c>
      <c r="G23" s="15" t="s">
        <v>104</v>
      </c>
      <c r="H23" s="16">
        <v>0.06</v>
      </c>
      <c r="I23" s="15" t="s">
        <v>114</v>
      </c>
      <c r="J23" s="15" t="s">
        <v>111</v>
      </c>
      <c r="K23" s="15" t="s">
        <v>48</v>
      </c>
      <c r="L23" s="17">
        <v>7</v>
      </c>
      <c r="M23" s="14">
        <f>H23*10000</f>
      </c>
      <c r="N23" s="14">
        <f>M23*L23</f>
      </c>
      <c r="O23" s="14">
        <f>M23*L23</f>
      </c>
      <c r="P23" s="14">
        <v>0</v>
      </c>
      <c r="Q23" s="14">
        <f>P23/65</f>
      </c>
      <c r="R23" s="14">
        <f>Q23*4</f>
      </c>
      <c r="S23" s="13"/>
      <c r="T23" s="13"/>
      <c r="U23" s="13"/>
      <c r="V23" s="18"/>
      <c r="W23" s="13"/>
    </row>
    <row x14ac:dyDescent="0.25" r="24" customHeight="1" ht="18.75">
      <c r="A24" s="14">
        <v>23</v>
      </c>
      <c r="B24" s="15" t="s">
        <v>18</v>
      </c>
      <c r="C24" s="15" t="s">
        <v>115</v>
      </c>
      <c r="D24" s="15" t="s">
        <v>107</v>
      </c>
      <c r="E24" s="15" t="s">
        <v>108</v>
      </c>
      <c r="F24" s="15" t="s">
        <v>116</v>
      </c>
      <c r="G24" s="15" t="s">
        <v>104</v>
      </c>
      <c r="H24" s="16">
        <v>0.1</v>
      </c>
      <c r="I24" s="15" t="s">
        <v>117</v>
      </c>
      <c r="J24" s="15" t="s">
        <v>111</v>
      </c>
      <c r="K24" s="15" t="s">
        <v>48</v>
      </c>
      <c r="L24" s="17">
        <v>6</v>
      </c>
      <c r="M24" s="14">
        <f>H24*10000</f>
      </c>
      <c r="N24" s="14">
        <f>M24*L24</f>
      </c>
      <c r="O24" s="14">
        <f>M24*L24</f>
      </c>
      <c r="P24" s="14">
        <v>0</v>
      </c>
      <c r="Q24" s="14">
        <f>P24/65</f>
      </c>
      <c r="R24" s="14">
        <f>Q24*4</f>
      </c>
      <c r="S24" s="13"/>
      <c r="T24" s="13"/>
      <c r="U24" s="13"/>
      <c r="V24" s="18"/>
      <c r="W24" s="13"/>
    </row>
    <row x14ac:dyDescent="0.25" r="25" customHeight="1" ht="18.75">
      <c r="A25" s="14">
        <v>24</v>
      </c>
      <c r="B25" s="15" t="s">
        <v>18</v>
      </c>
      <c r="C25" s="15" t="s">
        <v>118</v>
      </c>
      <c r="D25" s="15" t="s">
        <v>97</v>
      </c>
      <c r="E25" s="15" t="s">
        <v>108</v>
      </c>
      <c r="F25" s="15" t="s">
        <v>119</v>
      </c>
      <c r="G25" s="15" t="s">
        <v>104</v>
      </c>
      <c r="H25" s="16">
        <v>0.04</v>
      </c>
      <c r="I25" s="15" t="s">
        <v>120</v>
      </c>
      <c r="J25" s="15" t="s">
        <v>111</v>
      </c>
      <c r="K25" s="15" t="s">
        <v>48</v>
      </c>
      <c r="L25" s="17">
        <v>6</v>
      </c>
      <c r="M25" s="14">
        <f>H25*10000</f>
      </c>
      <c r="N25" s="14">
        <f>M25*L25</f>
      </c>
      <c r="O25" s="14">
        <f>M25*L25</f>
      </c>
      <c r="P25" s="14">
        <v>0</v>
      </c>
      <c r="Q25" s="14">
        <f>P25/65</f>
      </c>
      <c r="R25" s="14">
        <f>Q25*4</f>
      </c>
      <c r="S25" s="13"/>
      <c r="T25" s="13"/>
      <c r="U25" s="13"/>
      <c r="V25" s="18"/>
      <c r="W25" s="13"/>
    </row>
    <row x14ac:dyDescent="0.25" r="26" customHeight="1" ht="18.75">
      <c r="A26" s="14">
        <v>25</v>
      </c>
      <c r="B26" s="15" t="s">
        <v>18</v>
      </c>
      <c r="C26" s="15" t="s">
        <v>121</v>
      </c>
      <c r="D26" s="15" t="s">
        <v>97</v>
      </c>
      <c r="E26" s="15" t="s">
        <v>108</v>
      </c>
      <c r="F26" s="15" t="s">
        <v>122</v>
      </c>
      <c r="G26" s="15" t="s">
        <v>104</v>
      </c>
      <c r="H26" s="16">
        <v>0.04</v>
      </c>
      <c r="I26" s="15" t="s">
        <v>123</v>
      </c>
      <c r="J26" s="15" t="s">
        <v>111</v>
      </c>
      <c r="K26" s="15" t="s">
        <v>48</v>
      </c>
      <c r="L26" s="17">
        <v>6</v>
      </c>
      <c r="M26" s="14">
        <f>H26*10000</f>
      </c>
      <c r="N26" s="14">
        <f>M26*L26</f>
      </c>
      <c r="O26" s="14">
        <f>M26*L26</f>
      </c>
      <c r="P26" s="14">
        <v>0</v>
      </c>
      <c r="Q26" s="14">
        <f>P26/65</f>
      </c>
      <c r="R26" s="14">
        <f>Q26*4</f>
      </c>
      <c r="S26" s="13"/>
      <c r="T26" s="13"/>
      <c r="U26" s="13"/>
      <c r="V26" s="18"/>
      <c r="W26" s="13"/>
    </row>
    <row x14ac:dyDescent="0.25" r="27" customHeight="1" ht="64.5">
      <c r="A27" s="21" t="s">
        <v>124</v>
      </c>
      <c r="B27" s="22" t="s">
        <v>18</v>
      </c>
      <c r="C27" s="22" t="s">
        <v>125</v>
      </c>
      <c r="D27" s="22" t="s">
        <v>126</v>
      </c>
      <c r="E27" s="22" t="s">
        <v>21</v>
      </c>
      <c r="F27" s="22" t="s">
        <v>127</v>
      </c>
      <c r="G27" s="22" t="s">
        <v>23</v>
      </c>
      <c r="H27" s="21">
        <v>66</v>
      </c>
      <c r="I27" s="22" t="s">
        <v>128</v>
      </c>
      <c r="J27" s="22" t="s">
        <v>25</v>
      </c>
      <c r="K27" s="22" t="s">
        <v>48</v>
      </c>
      <c r="L27" s="17">
        <v>10</v>
      </c>
      <c r="M27" s="23">
        <f>H27*10000*0.25</f>
      </c>
      <c r="N27" s="23">
        <f>M27*16</f>
      </c>
      <c r="O27" s="23">
        <f>M27*3</f>
      </c>
      <c r="P27" s="23">
        <f>M27*8*0.8</f>
      </c>
      <c r="Q27" s="23">
        <f>P27/70</f>
      </c>
      <c r="R27" s="23">
        <f>Q27*4</f>
      </c>
      <c r="S27" s="13"/>
      <c r="T27" s="13"/>
      <c r="U27" s="13"/>
      <c r="V27" s="18"/>
      <c r="W27" s="13"/>
    </row>
    <row x14ac:dyDescent="0.25" r="28" customHeight="1" ht="18.75">
      <c r="A28" s="24">
        <v>1</v>
      </c>
      <c r="B28" s="25" t="s">
        <v>129</v>
      </c>
      <c r="C28" s="25" t="s">
        <v>130</v>
      </c>
      <c r="D28" s="25" t="s">
        <v>131</v>
      </c>
      <c r="E28" s="25" t="s">
        <v>132</v>
      </c>
      <c r="F28" s="25" t="s">
        <v>133</v>
      </c>
      <c r="G28" s="25" t="s">
        <v>30</v>
      </c>
      <c r="H28" s="26">
        <v>0.1</v>
      </c>
      <c r="I28" s="25" t="s">
        <v>134</v>
      </c>
      <c r="J28" s="25" t="s">
        <v>25</v>
      </c>
      <c r="K28" s="25" t="s">
        <v>26</v>
      </c>
      <c r="L28" s="27">
        <v>2</v>
      </c>
      <c r="M28" s="28">
        <f>H28*10000*0.25</f>
      </c>
      <c r="N28" s="28">
        <f>M28*L28</f>
      </c>
      <c r="O28" s="28">
        <f>M28*L28</f>
      </c>
      <c r="P28" s="28">
        <v>0</v>
      </c>
      <c r="Q28" s="28">
        <f>P28/65</f>
      </c>
      <c r="R28" s="28">
        <f>Q28*4</f>
      </c>
      <c r="S28" s="13"/>
      <c r="T28" s="13"/>
      <c r="U28" s="13"/>
      <c r="V28" s="18"/>
      <c r="W28" s="13"/>
    </row>
    <row x14ac:dyDescent="0.25" r="29" customHeight="1" ht="18.75">
      <c r="A29" s="24">
        <v>2</v>
      </c>
      <c r="B29" s="25" t="s">
        <v>129</v>
      </c>
      <c r="C29" s="25" t="s">
        <v>135</v>
      </c>
      <c r="D29" s="25" t="s">
        <v>136</v>
      </c>
      <c r="E29" s="25" t="s">
        <v>132</v>
      </c>
      <c r="F29" s="25" t="s">
        <v>137</v>
      </c>
      <c r="G29" s="25" t="s">
        <v>30</v>
      </c>
      <c r="H29" s="26">
        <v>0.08</v>
      </c>
      <c r="I29" s="25" t="s">
        <v>138</v>
      </c>
      <c r="J29" s="25" t="s">
        <v>111</v>
      </c>
      <c r="K29" s="25" t="s">
        <v>26</v>
      </c>
      <c r="L29" s="27">
        <v>2</v>
      </c>
      <c r="M29" s="28">
        <f>H29*10000*0.25</f>
      </c>
      <c r="N29" s="28">
        <f>M29*L29</f>
      </c>
      <c r="O29" s="28">
        <f>M29*L29</f>
      </c>
      <c r="P29" s="28">
        <v>0</v>
      </c>
      <c r="Q29" s="28">
        <f>P29/65</f>
      </c>
      <c r="R29" s="28">
        <f>Q29*4</f>
      </c>
      <c r="S29" s="13"/>
      <c r="T29" s="13"/>
      <c r="U29" s="13"/>
      <c r="V29" s="18"/>
      <c r="W29" s="13"/>
    </row>
    <row x14ac:dyDescent="0.25" r="30" customHeight="1" ht="18.75">
      <c r="A30" s="24">
        <v>3</v>
      </c>
      <c r="B30" s="25" t="s">
        <v>129</v>
      </c>
      <c r="C30" s="25" t="s">
        <v>139</v>
      </c>
      <c r="D30" s="25" t="s">
        <v>140</v>
      </c>
      <c r="E30" s="25" t="s">
        <v>141</v>
      </c>
      <c r="F30" s="25" t="s">
        <v>142</v>
      </c>
      <c r="G30" s="25" t="s">
        <v>30</v>
      </c>
      <c r="H30" s="26">
        <v>52.2</v>
      </c>
      <c r="I30" s="25" t="s">
        <v>143</v>
      </c>
      <c r="J30" s="25" t="s">
        <v>111</v>
      </c>
      <c r="K30" s="25" t="s">
        <v>26</v>
      </c>
      <c r="L30" s="27">
        <v>5</v>
      </c>
      <c r="M30" s="28">
        <f>H30*10000*0.25</f>
      </c>
      <c r="N30" s="28">
        <f>M30*L30</f>
      </c>
      <c r="O30" s="28">
        <f>M30*L30</f>
      </c>
      <c r="P30" s="28">
        <v>0</v>
      </c>
      <c r="Q30" s="28">
        <f>P30/65</f>
      </c>
      <c r="R30" s="28">
        <f>Q30*4</f>
      </c>
      <c r="S30" s="13"/>
      <c r="T30" s="13"/>
      <c r="U30" s="13"/>
      <c r="V30" s="18"/>
      <c r="W30" s="13"/>
    </row>
    <row x14ac:dyDescent="0.25" r="31" customHeight="1" ht="18.75">
      <c r="A31" s="24">
        <v>4</v>
      </c>
      <c r="B31" s="25" t="s">
        <v>129</v>
      </c>
      <c r="C31" s="25" t="s">
        <v>144</v>
      </c>
      <c r="D31" s="25" t="s">
        <v>145</v>
      </c>
      <c r="E31" s="25" t="s">
        <v>141</v>
      </c>
      <c r="F31" s="25" t="s">
        <v>146</v>
      </c>
      <c r="G31" s="25" t="s">
        <v>147</v>
      </c>
      <c r="H31" s="26">
        <v>0.08</v>
      </c>
      <c r="I31" s="25" t="s">
        <v>148</v>
      </c>
      <c r="J31" s="25" t="s">
        <v>111</v>
      </c>
      <c r="K31" s="25" t="s">
        <v>26</v>
      </c>
      <c r="L31" s="27">
        <v>5</v>
      </c>
      <c r="M31" s="28">
        <f>H31*10000*0.25</f>
      </c>
      <c r="N31" s="28">
        <f>M31*L31</f>
      </c>
      <c r="O31" s="28">
        <f>M31*L31</f>
      </c>
      <c r="P31" s="28">
        <v>0</v>
      </c>
      <c r="Q31" s="28">
        <f>P31/65</f>
      </c>
      <c r="R31" s="28">
        <f>Q31*4</f>
      </c>
      <c r="S31" s="13"/>
      <c r="T31" s="13"/>
      <c r="U31" s="13"/>
      <c r="V31" s="18"/>
      <c r="W31" s="13"/>
    </row>
    <row x14ac:dyDescent="0.25" r="32" customHeight="1" ht="18.75">
      <c r="A32" s="24">
        <v>5</v>
      </c>
      <c r="B32" s="25" t="s">
        <v>129</v>
      </c>
      <c r="C32" s="25" t="s">
        <v>149</v>
      </c>
      <c r="D32" s="25" t="s">
        <v>150</v>
      </c>
      <c r="E32" s="25" t="s">
        <v>141</v>
      </c>
      <c r="F32" s="25" t="s">
        <v>151</v>
      </c>
      <c r="G32" s="25" t="s">
        <v>30</v>
      </c>
      <c r="H32" s="26">
        <v>0.016</v>
      </c>
      <c r="I32" s="25" t="s">
        <v>152</v>
      </c>
      <c r="J32" s="25" t="s">
        <v>153</v>
      </c>
      <c r="K32" s="25" t="s">
        <v>26</v>
      </c>
      <c r="L32" s="27">
        <v>5</v>
      </c>
      <c r="M32" s="28">
        <f>H32*10000*0.25</f>
      </c>
      <c r="N32" s="28">
        <f>M32*L32</f>
      </c>
      <c r="O32" s="28">
        <f>M32*L32</f>
      </c>
      <c r="P32" s="28">
        <v>0</v>
      </c>
      <c r="Q32" s="28">
        <f>P32/65</f>
      </c>
      <c r="R32" s="28">
        <f>Q32*4</f>
      </c>
      <c r="S32" s="13"/>
      <c r="T32" s="13"/>
      <c r="U32" s="13"/>
      <c r="V32" s="18"/>
      <c r="W32" s="13"/>
    </row>
    <row x14ac:dyDescent="0.25" r="33" customHeight="1" ht="18.75">
      <c r="A33" s="24">
        <v>6</v>
      </c>
      <c r="B33" s="25" t="s">
        <v>129</v>
      </c>
      <c r="C33" s="25" t="s">
        <v>154</v>
      </c>
      <c r="D33" s="25" t="s">
        <v>155</v>
      </c>
      <c r="E33" s="25" t="s">
        <v>141</v>
      </c>
      <c r="F33" s="25" t="s">
        <v>156</v>
      </c>
      <c r="G33" s="25" t="s">
        <v>30</v>
      </c>
      <c r="H33" s="26">
        <v>0.0282</v>
      </c>
      <c r="I33" s="25" t="s">
        <v>157</v>
      </c>
      <c r="J33" s="25" t="s">
        <v>111</v>
      </c>
      <c r="K33" s="25" t="s">
        <v>26</v>
      </c>
      <c r="L33" s="27">
        <v>5</v>
      </c>
      <c r="M33" s="28">
        <f>H33*10000*0.25</f>
      </c>
      <c r="N33" s="28">
        <f>M33*L33</f>
      </c>
      <c r="O33" s="28">
        <f>M33*L33</f>
      </c>
      <c r="P33" s="28">
        <v>0</v>
      </c>
      <c r="Q33" s="28">
        <f>P33/65</f>
      </c>
      <c r="R33" s="28">
        <f>Q33*4</f>
      </c>
      <c r="S33" s="13"/>
      <c r="T33" s="13"/>
      <c r="U33" s="13"/>
      <c r="V33" s="18"/>
      <c r="W33" s="13"/>
    </row>
    <row x14ac:dyDescent="0.25" r="34" customHeight="1" ht="18.75">
      <c r="A34" s="24">
        <v>7</v>
      </c>
      <c r="B34" s="25" t="s">
        <v>129</v>
      </c>
      <c r="C34" s="25" t="s">
        <v>158</v>
      </c>
      <c r="D34" s="25" t="s">
        <v>131</v>
      </c>
      <c r="E34" s="25" t="s">
        <v>141</v>
      </c>
      <c r="F34" s="25" t="s">
        <v>159</v>
      </c>
      <c r="G34" s="25" t="s">
        <v>104</v>
      </c>
      <c r="H34" s="26">
        <v>0.05</v>
      </c>
      <c r="I34" s="25" t="s">
        <v>160</v>
      </c>
      <c r="J34" s="25" t="s">
        <v>25</v>
      </c>
      <c r="K34" s="25" t="s">
        <v>161</v>
      </c>
      <c r="L34" s="27">
        <v>5</v>
      </c>
      <c r="M34" s="28">
        <f>H34*10000</f>
      </c>
      <c r="N34" s="28">
        <f>M34*L34</f>
      </c>
      <c r="O34" s="28">
        <f>M34*L34</f>
      </c>
      <c r="P34" s="28">
        <v>0</v>
      </c>
      <c r="Q34" s="28">
        <f>P34/65</f>
      </c>
      <c r="R34" s="28">
        <f>Q34*4</f>
      </c>
      <c r="S34" s="13"/>
      <c r="T34" s="13"/>
      <c r="U34" s="13"/>
      <c r="V34" s="18"/>
      <c r="W34" s="13"/>
    </row>
    <row x14ac:dyDescent="0.25" r="35" customHeight="1" ht="18.75">
      <c r="A35" s="24">
        <v>8</v>
      </c>
      <c r="B35" s="25" t="s">
        <v>129</v>
      </c>
      <c r="C35" s="25" t="s">
        <v>144</v>
      </c>
      <c r="D35" s="25" t="s">
        <v>162</v>
      </c>
      <c r="E35" s="25" t="s">
        <v>141</v>
      </c>
      <c r="F35" s="25" t="s">
        <v>163</v>
      </c>
      <c r="G35" s="25" t="s">
        <v>104</v>
      </c>
      <c r="H35" s="26">
        <v>0.05</v>
      </c>
      <c r="I35" s="25" t="s">
        <v>164</v>
      </c>
      <c r="J35" s="25" t="s">
        <v>25</v>
      </c>
      <c r="K35" s="25" t="s">
        <v>161</v>
      </c>
      <c r="L35" s="27">
        <v>5</v>
      </c>
      <c r="M35" s="28">
        <f>H35*10000</f>
      </c>
      <c r="N35" s="28">
        <f>M35*L35</f>
      </c>
      <c r="O35" s="28">
        <f>M35*L35</f>
      </c>
      <c r="P35" s="28">
        <v>0</v>
      </c>
      <c r="Q35" s="28">
        <f>P35/65</f>
      </c>
      <c r="R35" s="28">
        <f>Q35*4</f>
      </c>
      <c r="S35" s="13"/>
      <c r="T35" s="13"/>
      <c r="U35" s="13"/>
      <c r="V35" s="18"/>
      <c r="W35" s="13"/>
    </row>
    <row x14ac:dyDescent="0.25" r="36" customHeight="1" ht="18.75">
      <c r="A36" s="24">
        <v>9</v>
      </c>
      <c r="B36" s="25" t="s">
        <v>129</v>
      </c>
      <c r="C36" s="25" t="s">
        <v>165</v>
      </c>
      <c r="D36" s="25" t="s">
        <v>162</v>
      </c>
      <c r="E36" s="25" t="s">
        <v>132</v>
      </c>
      <c r="F36" s="25" t="s">
        <v>166</v>
      </c>
      <c r="G36" s="25" t="s">
        <v>30</v>
      </c>
      <c r="H36" s="24">
        <v>29</v>
      </c>
      <c r="I36" s="25" t="s">
        <v>167</v>
      </c>
      <c r="J36" s="25" t="s">
        <v>25</v>
      </c>
      <c r="K36" s="25" t="s">
        <v>161</v>
      </c>
      <c r="L36" s="27">
        <v>2</v>
      </c>
      <c r="M36" s="28">
        <f>H36*10000*0.25</f>
      </c>
      <c r="N36" s="28">
        <f>M36*L36</f>
      </c>
      <c r="O36" s="28">
        <f>M36*L36</f>
      </c>
      <c r="P36" s="28">
        <v>0</v>
      </c>
      <c r="Q36" s="28">
        <f>P36/65</f>
      </c>
      <c r="R36" s="28">
        <f>Q36*4</f>
      </c>
      <c r="S36" s="13"/>
      <c r="T36" s="13"/>
      <c r="U36" s="13"/>
      <c r="V36" s="18"/>
      <c r="W36" s="13"/>
    </row>
    <row x14ac:dyDescent="0.25" r="37" customHeight="1" ht="18.75">
      <c r="A37" s="24">
        <v>10</v>
      </c>
      <c r="B37" s="25" t="s">
        <v>129</v>
      </c>
      <c r="C37" s="25" t="s">
        <v>168</v>
      </c>
      <c r="D37" s="25" t="s">
        <v>169</v>
      </c>
      <c r="E37" s="25" t="s">
        <v>141</v>
      </c>
      <c r="F37" s="25" t="s">
        <v>170</v>
      </c>
      <c r="G37" s="25" t="s">
        <v>171</v>
      </c>
      <c r="H37" s="26">
        <v>77.7</v>
      </c>
      <c r="I37" s="25" t="s">
        <v>172</v>
      </c>
      <c r="J37" s="25" t="s">
        <v>25</v>
      </c>
      <c r="K37" s="25" t="s">
        <v>161</v>
      </c>
      <c r="L37" s="27">
        <v>5</v>
      </c>
      <c r="M37" s="28">
        <f>H37*10000*0.25</f>
      </c>
      <c r="N37" s="28">
        <f>M37*L37</f>
      </c>
      <c r="O37" s="28">
        <f>M37*5</f>
      </c>
      <c r="P37" s="28">
        <f>N37-O37</f>
      </c>
      <c r="Q37" s="28">
        <f>P37/60</f>
      </c>
      <c r="R37" s="28">
        <f>Q37*4</f>
      </c>
      <c r="S37" s="13"/>
      <c r="T37" s="13"/>
      <c r="U37" s="13"/>
      <c r="V37" s="18"/>
      <c r="W37" s="13"/>
    </row>
    <row x14ac:dyDescent="0.25" r="38" customHeight="1" ht="18.75">
      <c r="A38" s="24">
        <v>11</v>
      </c>
      <c r="B38" s="25" t="s">
        <v>129</v>
      </c>
      <c r="C38" s="25" t="s">
        <v>173</v>
      </c>
      <c r="D38" s="25" t="s">
        <v>174</v>
      </c>
      <c r="E38" s="25" t="s">
        <v>175</v>
      </c>
      <c r="F38" s="25" t="s">
        <v>176</v>
      </c>
      <c r="G38" s="25" t="s">
        <v>23</v>
      </c>
      <c r="H38" s="26">
        <v>77.7</v>
      </c>
      <c r="I38" s="25" t="s">
        <v>177</v>
      </c>
      <c r="J38" s="25" t="s">
        <v>153</v>
      </c>
      <c r="K38" s="25" t="s">
        <v>161</v>
      </c>
      <c r="L38" s="27">
        <v>7</v>
      </c>
      <c r="M38" s="28">
        <f>H38*10000*0.25</f>
      </c>
      <c r="N38" s="28">
        <f>M38*L38</f>
      </c>
      <c r="O38" s="28">
        <f>M38*2</f>
      </c>
      <c r="P38" s="28">
        <f>M38*5*0.8</f>
      </c>
      <c r="Q38" s="28">
        <f>P38/70</f>
      </c>
      <c r="R38" s="28">
        <f>Q38*4</f>
      </c>
      <c r="S38" s="13"/>
      <c r="T38" s="13"/>
      <c r="U38" s="13"/>
      <c r="V38" s="18"/>
      <c r="W38" s="13"/>
    </row>
    <row x14ac:dyDescent="0.25" r="39" customHeight="1" ht="18.75">
      <c r="A39" s="24">
        <v>12</v>
      </c>
      <c r="B39" s="25" t="s">
        <v>129</v>
      </c>
      <c r="C39" s="25" t="s">
        <v>135</v>
      </c>
      <c r="D39" s="25" t="s">
        <v>178</v>
      </c>
      <c r="E39" s="25" t="s">
        <v>175</v>
      </c>
      <c r="F39" s="25" t="s">
        <v>179</v>
      </c>
      <c r="G39" s="25" t="s">
        <v>23</v>
      </c>
      <c r="H39" s="24">
        <v>5</v>
      </c>
      <c r="I39" s="25" t="s">
        <v>180</v>
      </c>
      <c r="J39" s="25" t="s">
        <v>32</v>
      </c>
      <c r="K39" s="25" t="s">
        <v>48</v>
      </c>
      <c r="L39" s="27">
        <v>10</v>
      </c>
      <c r="M39" s="28">
        <f>H39*10000*0.25</f>
      </c>
      <c r="N39" s="28">
        <f>M39*L39</f>
      </c>
      <c r="O39" s="28">
        <f>M39*2</f>
      </c>
      <c r="P39" s="28">
        <f>M39*8*0.8</f>
      </c>
      <c r="Q39" s="28">
        <f>P39/70</f>
      </c>
      <c r="R39" s="28">
        <f>Q39*4</f>
      </c>
      <c r="S39" s="13"/>
      <c r="T39" s="13"/>
      <c r="U39" s="13"/>
      <c r="V39" s="18"/>
      <c r="W39" s="13"/>
    </row>
    <row x14ac:dyDescent="0.25" r="40" customHeight="1" ht="18.75">
      <c r="A40" s="24">
        <v>13</v>
      </c>
      <c r="B40" s="25" t="s">
        <v>129</v>
      </c>
      <c r="C40" s="25" t="s">
        <v>181</v>
      </c>
      <c r="D40" s="25" t="s">
        <v>182</v>
      </c>
      <c r="E40" s="25" t="s">
        <v>183</v>
      </c>
      <c r="F40" s="25" t="s">
        <v>184</v>
      </c>
      <c r="G40" s="25" t="s">
        <v>23</v>
      </c>
      <c r="H40" s="24">
        <v>8</v>
      </c>
      <c r="I40" s="25" t="s">
        <v>185</v>
      </c>
      <c r="J40" s="25" t="s">
        <v>32</v>
      </c>
      <c r="K40" s="25" t="s">
        <v>59</v>
      </c>
      <c r="L40" s="27">
        <v>12</v>
      </c>
      <c r="M40" s="28">
        <f>H40*10000*0.25</f>
      </c>
      <c r="N40" s="28">
        <f>M40*L40</f>
      </c>
      <c r="O40" s="28">
        <f>M40*3</f>
      </c>
      <c r="P40" s="28">
        <f>M40*9*0.8</f>
      </c>
      <c r="Q40" s="28">
        <f>P40/70</f>
      </c>
      <c r="R40" s="28">
        <f>Q40*4</f>
      </c>
      <c r="S40" s="13"/>
      <c r="T40" s="13"/>
      <c r="U40" s="13"/>
      <c r="V40" s="18"/>
      <c r="W40" s="13"/>
    </row>
    <row x14ac:dyDescent="0.25" r="41" customHeight="1" ht="18.75">
      <c r="A41" s="24">
        <v>14</v>
      </c>
      <c r="B41" s="25" t="s">
        <v>129</v>
      </c>
      <c r="C41" s="25" t="s">
        <v>186</v>
      </c>
      <c r="D41" s="25" t="s">
        <v>187</v>
      </c>
      <c r="E41" s="25" t="s">
        <v>188</v>
      </c>
      <c r="F41" s="25" t="s">
        <v>189</v>
      </c>
      <c r="G41" s="25" t="s">
        <v>23</v>
      </c>
      <c r="H41" s="26">
        <v>44.7</v>
      </c>
      <c r="I41" s="25" t="s">
        <v>190</v>
      </c>
      <c r="J41" s="25" t="s">
        <v>153</v>
      </c>
      <c r="K41" s="25" t="s">
        <v>161</v>
      </c>
      <c r="L41" s="27">
        <v>12</v>
      </c>
      <c r="M41" s="28">
        <f>H41*10000*0.25</f>
      </c>
      <c r="N41" s="28">
        <f>M41*L41</f>
      </c>
      <c r="O41" s="28">
        <f>M41*3</f>
      </c>
      <c r="P41" s="28">
        <f>M41*8*0.8</f>
      </c>
      <c r="Q41" s="28">
        <f>P41/70</f>
      </c>
      <c r="R41" s="28">
        <f>Q41*4</f>
      </c>
      <c r="S41" s="13"/>
      <c r="T41" s="13"/>
      <c r="U41" s="13"/>
      <c r="V41" s="18"/>
      <c r="W41" s="13"/>
    </row>
    <row x14ac:dyDescent="0.25" r="42" customHeight="1" ht="18.75">
      <c r="A42" s="24">
        <v>15</v>
      </c>
      <c r="B42" s="25" t="s">
        <v>129</v>
      </c>
      <c r="C42" s="25" t="s">
        <v>191</v>
      </c>
      <c r="D42" s="25" t="s">
        <v>192</v>
      </c>
      <c r="E42" s="25" t="s">
        <v>141</v>
      </c>
      <c r="F42" s="25" t="s">
        <v>193</v>
      </c>
      <c r="G42" s="25" t="s">
        <v>147</v>
      </c>
      <c r="H42" s="26">
        <v>0.34</v>
      </c>
      <c r="I42" s="25" t="s">
        <v>194</v>
      </c>
      <c r="J42" s="25" t="s">
        <v>25</v>
      </c>
      <c r="K42" s="25" t="s">
        <v>161</v>
      </c>
      <c r="L42" s="27">
        <v>5</v>
      </c>
      <c r="M42" s="28">
        <f>H42*10000*0.25</f>
      </c>
      <c r="N42" s="28">
        <f>M42*L42</f>
      </c>
      <c r="O42" s="28">
        <f>M42*5</f>
      </c>
      <c r="P42" s="28">
        <f>N42-O42</f>
      </c>
      <c r="Q42" s="28">
        <f>P42/60</f>
      </c>
      <c r="R42" s="28">
        <f>Q42*4</f>
      </c>
      <c r="S42" s="13"/>
      <c r="T42" s="13"/>
      <c r="U42" s="13"/>
      <c r="V42" s="18"/>
      <c r="W42" s="13"/>
    </row>
    <row x14ac:dyDescent="0.25" r="43" customHeight="1" ht="18.75">
      <c r="A43" s="24">
        <v>16</v>
      </c>
      <c r="B43" s="25" t="s">
        <v>129</v>
      </c>
      <c r="C43" s="25" t="s">
        <v>195</v>
      </c>
      <c r="D43" s="25" t="s">
        <v>196</v>
      </c>
      <c r="E43" s="25" t="s">
        <v>141</v>
      </c>
      <c r="F43" s="25" t="s">
        <v>193</v>
      </c>
      <c r="G43" s="25" t="s">
        <v>147</v>
      </c>
      <c r="H43" s="26">
        <v>0.3</v>
      </c>
      <c r="I43" s="25" t="s">
        <v>197</v>
      </c>
      <c r="J43" s="25" t="s">
        <v>25</v>
      </c>
      <c r="K43" s="25" t="s">
        <v>161</v>
      </c>
      <c r="L43" s="27">
        <v>5</v>
      </c>
      <c r="M43" s="28">
        <f>H43*10000*0.25</f>
      </c>
      <c r="N43" s="28">
        <f>M43*L43</f>
      </c>
      <c r="O43" s="28">
        <f>M43*5</f>
      </c>
      <c r="P43" s="28">
        <f>N43-O43</f>
      </c>
      <c r="Q43" s="28">
        <f>P43/60</f>
      </c>
      <c r="R43" s="28">
        <f>Q43*4</f>
      </c>
      <c r="S43" s="13"/>
      <c r="T43" s="13"/>
      <c r="U43" s="13"/>
      <c r="V43" s="18"/>
      <c r="W43" s="13"/>
    </row>
    <row x14ac:dyDescent="0.25" r="44" customHeight="1" ht="18.75">
      <c r="A44" s="24">
        <v>17</v>
      </c>
      <c r="B44" s="25" t="s">
        <v>129</v>
      </c>
      <c r="C44" s="25" t="s">
        <v>198</v>
      </c>
      <c r="D44" s="25" t="s">
        <v>199</v>
      </c>
      <c r="E44" s="25" t="s">
        <v>183</v>
      </c>
      <c r="F44" s="25" t="s">
        <v>200</v>
      </c>
      <c r="G44" s="25" t="s">
        <v>23</v>
      </c>
      <c r="H44" s="24">
        <v>30</v>
      </c>
      <c r="I44" s="25" t="s">
        <v>201</v>
      </c>
      <c r="J44" s="25" t="s">
        <v>25</v>
      </c>
      <c r="K44" s="25" t="s">
        <v>161</v>
      </c>
      <c r="L44" s="27">
        <v>10</v>
      </c>
      <c r="M44" s="28">
        <f>H44*10000*0.25</f>
      </c>
      <c r="N44" s="28">
        <f>M44*L44</f>
      </c>
      <c r="O44" s="28">
        <f>M44*2</f>
      </c>
      <c r="P44" s="28">
        <f>M44*8*0.8</f>
      </c>
      <c r="Q44" s="28">
        <f>P44/70</f>
      </c>
      <c r="R44" s="28">
        <f>Q44*4</f>
      </c>
      <c r="S44" s="13"/>
      <c r="T44" s="13"/>
      <c r="U44" s="13"/>
      <c r="V44" s="18"/>
      <c r="W44" s="13"/>
    </row>
    <row x14ac:dyDescent="0.25" r="45" customHeight="1" ht="18.75">
      <c r="A45" s="24">
        <v>18</v>
      </c>
      <c r="B45" s="25" t="s">
        <v>129</v>
      </c>
      <c r="C45" s="25" t="s">
        <v>202</v>
      </c>
      <c r="D45" s="25" t="s">
        <v>203</v>
      </c>
      <c r="E45" s="25" t="s">
        <v>141</v>
      </c>
      <c r="F45" s="25" t="s">
        <v>204</v>
      </c>
      <c r="G45" s="25" t="s">
        <v>104</v>
      </c>
      <c r="H45" s="26">
        <v>0.05</v>
      </c>
      <c r="I45" s="25" t="s">
        <v>205</v>
      </c>
      <c r="J45" s="25" t="s">
        <v>111</v>
      </c>
      <c r="K45" s="25" t="s">
        <v>161</v>
      </c>
      <c r="L45" s="27">
        <v>5</v>
      </c>
      <c r="M45" s="28">
        <f>H45*10000</f>
      </c>
      <c r="N45" s="28">
        <f>M45*L45</f>
      </c>
      <c r="O45" s="28">
        <f>M45*L45</f>
      </c>
      <c r="P45" s="28">
        <f>N45-O45</f>
      </c>
      <c r="Q45" s="28">
        <f>P45/60</f>
      </c>
      <c r="R45" s="28">
        <f>Q45*4</f>
      </c>
      <c r="S45" s="13"/>
      <c r="T45" s="13"/>
      <c r="U45" s="13"/>
      <c r="V45" s="18"/>
      <c r="W45" s="13"/>
    </row>
    <row x14ac:dyDescent="0.25" r="46" customHeight="1" ht="18.75">
      <c r="A46" s="24">
        <v>19</v>
      </c>
      <c r="B46" s="25" t="s">
        <v>129</v>
      </c>
      <c r="C46" s="25" t="s">
        <v>206</v>
      </c>
      <c r="D46" s="25" t="s">
        <v>207</v>
      </c>
      <c r="E46" s="25" t="s">
        <v>141</v>
      </c>
      <c r="F46" s="25" t="s">
        <v>204</v>
      </c>
      <c r="G46" s="25" t="s">
        <v>104</v>
      </c>
      <c r="H46" s="26">
        <v>0.05</v>
      </c>
      <c r="I46" s="25" t="s">
        <v>208</v>
      </c>
      <c r="J46" s="25" t="s">
        <v>111</v>
      </c>
      <c r="K46" s="25" t="s">
        <v>161</v>
      </c>
      <c r="L46" s="27">
        <v>5</v>
      </c>
      <c r="M46" s="28">
        <f>H46*10000</f>
      </c>
      <c r="N46" s="28">
        <f>M46*L46</f>
      </c>
      <c r="O46" s="28">
        <f>M46*L46</f>
      </c>
      <c r="P46" s="28">
        <f>N46-O46</f>
      </c>
      <c r="Q46" s="28">
        <f>P46/60</f>
      </c>
      <c r="R46" s="28">
        <f>Q46*4</f>
      </c>
      <c r="S46" s="13"/>
      <c r="T46" s="13"/>
      <c r="U46" s="13"/>
      <c r="V46" s="18"/>
      <c r="W46" s="13"/>
    </row>
    <row x14ac:dyDescent="0.25" r="47" customHeight="1" ht="18.75">
      <c r="A47" s="24">
        <v>20</v>
      </c>
      <c r="B47" s="25" t="s">
        <v>129</v>
      </c>
      <c r="C47" s="25" t="s">
        <v>209</v>
      </c>
      <c r="D47" s="25" t="s">
        <v>207</v>
      </c>
      <c r="E47" s="25" t="s">
        <v>183</v>
      </c>
      <c r="F47" s="25" t="s">
        <v>204</v>
      </c>
      <c r="G47" s="25" t="s">
        <v>23</v>
      </c>
      <c r="H47" s="26">
        <v>6.7</v>
      </c>
      <c r="I47" s="25" t="s">
        <v>210</v>
      </c>
      <c r="J47" s="25" t="s">
        <v>32</v>
      </c>
      <c r="K47" s="25" t="s">
        <v>48</v>
      </c>
      <c r="L47" s="27">
        <v>12</v>
      </c>
      <c r="M47" s="28">
        <f>H47*10000*0.25</f>
      </c>
      <c r="N47" s="28">
        <f>M47*L47</f>
      </c>
      <c r="O47" s="28">
        <f>M47*3</f>
      </c>
      <c r="P47" s="28">
        <f>M47*10*0.8</f>
      </c>
      <c r="Q47" s="28">
        <f>P47/70</f>
      </c>
      <c r="R47" s="28">
        <f>Q47*4</f>
      </c>
      <c r="S47" s="13"/>
      <c r="T47" s="13"/>
      <c r="U47" s="13"/>
      <c r="V47" s="18"/>
      <c r="W47" s="13"/>
    </row>
    <row x14ac:dyDescent="0.25" r="48" customHeight="1" ht="18.75">
      <c r="A48" s="24">
        <v>21</v>
      </c>
      <c r="B48" s="25" t="s">
        <v>129</v>
      </c>
      <c r="C48" s="25" t="s">
        <v>211</v>
      </c>
      <c r="D48" s="25" t="s">
        <v>162</v>
      </c>
      <c r="E48" s="25" t="s">
        <v>132</v>
      </c>
      <c r="F48" s="25" t="s">
        <v>212</v>
      </c>
      <c r="G48" s="25" t="s">
        <v>30</v>
      </c>
      <c r="H48" s="26">
        <v>2.3</v>
      </c>
      <c r="I48" s="25" t="s">
        <v>213</v>
      </c>
      <c r="J48" s="25" t="s">
        <v>111</v>
      </c>
      <c r="K48" s="25" t="s">
        <v>48</v>
      </c>
      <c r="L48" s="27">
        <v>2</v>
      </c>
      <c r="M48" s="28">
        <f>H48*10000*0.25</f>
      </c>
      <c r="N48" s="28">
        <f>M48*L48</f>
      </c>
      <c r="O48" s="28">
        <f>M48*2</f>
      </c>
      <c r="P48" s="28">
        <f>N48-O48</f>
      </c>
      <c r="Q48" s="28">
        <v>0</v>
      </c>
      <c r="R48" s="28">
        <v>0</v>
      </c>
      <c r="S48" s="13"/>
      <c r="T48" s="13"/>
      <c r="U48" s="13"/>
      <c r="V48" s="18"/>
      <c r="W48" s="13"/>
    </row>
    <row x14ac:dyDescent="0.25" r="49" customHeight="1" ht="18.75">
      <c r="A49" s="24">
        <v>22</v>
      </c>
      <c r="B49" s="25" t="s">
        <v>129</v>
      </c>
      <c r="C49" s="25" t="s">
        <v>214</v>
      </c>
      <c r="D49" s="25" t="s">
        <v>215</v>
      </c>
      <c r="E49" s="25" t="s">
        <v>183</v>
      </c>
      <c r="F49" s="25" t="s">
        <v>216</v>
      </c>
      <c r="G49" s="25" t="s">
        <v>23</v>
      </c>
      <c r="H49" s="26">
        <v>23.7</v>
      </c>
      <c r="I49" s="25" t="s">
        <v>217</v>
      </c>
      <c r="J49" s="25" t="s">
        <v>25</v>
      </c>
      <c r="K49" s="25" t="s">
        <v>48</v>
      </c>
      <c r="L49" s="27">
        <v>10</v>
      </c>
      <c r="M49" s="28">
        <f>H49*10000*0.25</f>
      </c>
      <c r="N49" s="28">
        <f>M49*L49</f>
      </c>
      <c r="O49" s="28">
        <f>M49*3</f>
      </c>
      <c r="P49" s="28">
        <f>M49*8*0.8</f>
      </c>
      <c r="Q49" s="28">
        <f>P49/70</f>
      </c>
      <c r="R49" s="28">
        <f>Q49*4</f>
      </c>
      <c r="S49" s="13"/>
      <c r="T49" s="13"/>
      <c r="U49" s="13"/>
      <c r="V49" s="18"/>
      <c r="W49" s="13"/>
    </row>
    <row x14ac:dyDescent="0.25" r="50" customHeight="1" ht="18.75">
      <c r="A50" s="24">
        <v>23</v>
      </c>
      <c r="B50" s="25" t="s">
        <v>129</v>
      </c>
      <c r="C50" s="25" t="s">
        <v>218</v>
      </c>
      <c r="D50" s="25" t="s">
        <v>215</v>
      </c>
      <c r="E50" s="25" t="s">
        <v>183</v>
      </c>
      <c r="F50" s="25" t="s">
        <v>216</v>
      </c>
      <c r="G50" s="25" t="s">
        <v>23</v>
      </c>
      <c r="H50" s="26">
        <v>17.3</v>
      </c>
      <c r="I50" s="25" t="s">
        <v>219</v>
      </c>
      <c r="J50" s="25" t="s">
        <v>32</v>
      </c>
      <c r="K50" s="25" t="s">
        <v>48</v>
      </c>
      <c r="L50" s="27">
        <v>10</v>
      </c>
      <c r="M50" s="28">
        <f>H50*10000*0.25</f>
      </c>
      <c r="N50" s="28">
        <f>M50*L50</f>
      </c>
      <c r="O50" s="28">
        <f>M50*3</f>
      </c>
      <c r="P50" s="28">
        <f>M50*13*0.8</f>
      </c>
      <c r="Q50" s="28">
        <f>P50/70</f>
      </c>
      <c r="R50" s="28">
        <f>Q50*4</f>
      </c>
      <c r="S50" s="13"/>
      <c r="T50" s="13"/>
      <c r="U50" s="13"/>
      <c r="V50" s="18"/>
      <c r="W50" s="13"/>
    </row>
    <row x14ac:dyDescent="0.25" r="51" customHeight="1" ht="18.75">
      <c r="A51" s="24">
        <v>24</v>
      </c>
      <c r="B51" s="25" t="s">
        <v>129</v>
      </c>
      <c r="C51" s="25" t="s">
        <v>220</v>
      </c>
      <c r="D51" s="25" t="s">
        <v>174</v>
      </c>
      <c r="E51" s="25" t="s">
        <v>183</v>
      </c>
      <c r="F51" s="25" t="s">
        <v>221</v>
      </c>
      <c r="G51" s="25" t="s">
        <v>23</v>
      </c>
      <c r="H51" s="26">
        <v>0.7</v>
      </c>
      <c r="I51" s="25" t="s">
        <v>222</v>
      </c>
      <c r="J51" s="25" t="s">
        <v>32</v>
      </c>
      <c r="K51" s="25" t="s">
        <v>48</v>
      </c>
      <c r="L51" s="27">
        <v>13</v>
      </c>
      <c r="M51" s="28">
        <f>H51*10000*0.25</f>
      </c>
      <c r="N51" s="28">
        <f>M51*L51</f>
      </c>
      <c r="O51" s="28">
        <f>M51*3</f>
      </c>
      <c r="P51" s="28">
        <f>M51*10*0.8</f>
      </c>
      <c r="Q51" s="28">
        <f>P51/70</f>
      </c>
      <c r="R51" s="28">
        <f>Q51*4</f>
      </c>
      <c r="S51" s="13"/>
      <c r="T51" s="13"/>
      <c r="U51" s="13"/>
      <c r="V51" s="18"/>
      <c r="W51" s="13"/>
    </row>
    <row x14ac:dyDescent="0.25" r="52" customHeight="1" ht="18.75">
      <c r="A52" s="24">
        <v>25</v>
      </c>
      <c r="B52" s="25" t="s">
        <v>129</v>
      </c>
      <c r="C52" s="25" t="s">
        <v>223</v>
      </c>
      <c r="D52" s="25" t="s">
        <v>224</v>
      </c>
      <c r="E52" s="25" t="s">
        <v>183</v>
      </c>
      <c r="F52" s="25" t="s">
        <v>221</v>
      </c>
      <c r="G52" s="25" t="s">
        <v>23</v>
      </c>
      <c r="H52" s="26">
        <v>1.2</v>
      </c>
      <c r="I52" s="25" t="s">
        <v>225</v>
      </c>
      <c r="J52" s="25" t="s">
        <v>32</v>
      </c>
      <c r="K52" s="25" t="s">
        <v>48</v>
      </c>
      <c r="L52" s="27">
        <v>13</v>
      </c>
      <c r="M52" s="28">
        <f>H52*10000*0.25</f>
      </c>
      <c r="N52" s="28">
        <f>M52*L52</f>
      </c>
      <c r="O52" s="28">
        <f>M52*3</f>
      </c>
      <c r="P52" s="28">
        <f>M52*1*0.8</f>
      </c>
      <c r="Q52" s="28">
        <f>P52/70</f>
      </c>
      <c r="R52" s="28">
        <f>Q52*4</f>
      </c>
      <c r="S52" s="13"/>
      <c r="T52" s="13"/>
      <c r="U52" s="13"/>
      <c r="V52" s="18"/>
      <c r="W52" s="13"/>
    </row>
    <row x14ac:dyDescent="0.25" r="53" customHeight="1" ht="18.75">
      <c r="A53" s="24">
        <v>26</v>
      </c>
      <c r="B53" s="25" t="s">
        <v>129</v>
      </c>
      <c r="C53" s="25" t="s">
        <v>226</v>
      </c>
      <c r="D53" s="25" t="s">
        <v>224</v>
      </c>
      <c r="E53" s="25" t="s">
        <v>183</v>
      </c>
      <c r="F53" s="25" t="s">
        <v>221</v>
      </c>
      <c r="G53" s="25" t="s">
        <v>23</v>
      </c>
      <c r="H53" s="26">
        <v>12.8</v>
      </c>
      <c r="I53" s="25" t="s">
        <v>227</v>
      </c>
      <c r="J53" s="25" t="s">
        <v>32</v>
      </c>
      <c r="K53" s="25" t="s">
        <v>48</v>
      </c>
      <c r="L53" s="27">
        <v>10</v>
      </c>
      <c r="M53" s="28">
        <f>H53*10000*0.25</f>
      </c>
      <c r="N53" s="28">
        <f>M53*L53</f>
      </c>
      <c r="O53" s="28">
        <f>M53*3</f>
      </c>
      <c r="P53" s="28">
        <f>M53*8*0.8</f>
      </c>
      <c r="Q53" s="28">
        <f>P53/70</f>
      </c>
      <c r="R53" s="28">
        <f>Q53*4</f>
      </c>
      <c r="S53" s="13"/>
      <c r="T53" s="13"/>
      <c r="U53" s="13"/>
      <c r="V53" s="18"/>
      <c r="W53" s="13"/>
    </row>
    <row x14ac:dyDescent="0.25" r="54" customHeight="1" ht="18.75">
      <c r="A54" s="24">
        <v>27</v>
      </c>
      <c r="B54" s="25" t="s">
        <v>129</v>
      </c>
      <c r="C54" s="25" t="s">
        <v>228</v>
      </c>
      <c r="D54" s="25" t="s">
        <v>196</v>
      </c>
      <c r="E54" s="25" t="s">
        <v>141</v>
      </c>
      <c r="F54" s="25" t="s">
        <v>193</v>
      </c>
      <c r="G54" s="25" t="s">
        <v>104</v>
      </c>
      <c r="H54" s="26">
        <v>0.05</v>
      </c>
      <c r="I54" s="25" t="s">
        <v>229</v>
      </c>
      <c r="J54" s="25" t="s">
        <v>153</v>
      </c>
      <c r="K54" s="25" t="s">
        <v>161</v>
      </c>
      <c r="L54" s="27">
        <v>5</v>
      </c>
      <c r="M54" s="28">
        <f>H54*10000</f>
      </c>
      <c r="N54" s="28">
        <f>M54*L54</f>
      </c>
      <c r="O54" s="28">
        <f>M54*L54</f>
      </c>
      <c r="P54" s="28">
        <v>0</v>
      </c>
      <c r="Q54" s="28">
        <v>0</v>
      </c>
      <c r="R54" s="28">
        <v>0</v>
      </c>
      <c r="S54" s="13"/>
      <c r="T54" s="13"/>
      <c r="U54" s="13"/>
      <c r="V54" s="18"/>
      <c r="W54" s="13"/>
    </row>
    <row x14ac:dyDescent="0.25" r="55" customHeight="1" ht="18.75">
      <c r="A55" s="24">
        <v>28</v>
      </c>
      <c r="B55" s="25" t="s">
        <v>129</v>
      </c>
      <c r="C55" s="25" t="s">
        <v>230</v>
      </c>
      <c r="D55" s="25" t="s">
        <v>196</v>
      </c>
      <c r="E55" s="25" t="s">
        <v>231</v>
      </c>
      <c r="F55" s="25" t="s">
        <v>232</v>
      </c>
      <c r="G55" s="25" t="s">
        <v>147</v>
      </c>
      <c r="H55" s="26">
        <v>0.08</v>
      </c>
      <c r="I55" s="25" t="s">
        <v>233</v>
      </c>
      <c r="J55" s="25" t="s">
        <v>111</v>
      </c>
      <c r="K55" s="25" t="s">
        <v>48</v>
      </c>
      <c r="L55" s="27">
        <v>4</v>
      </c>
      <c r="M55" s="28">
        <f>H55*10000*0.25</f>
      </c>
      <c r="N55" s="28">
        <f>M55*L55</f>
      </c>
      <c r="O55" s="28">
        <f>M55*L55</f>
      </c>
      <c r="P55" s="28">
        <v>0</v>
      </c>
      <c r="Q55" s="28">
        <v>0</v>
      </c>
      <c r="R55" s="28">
        <v>0</v>
      </c>
      <c r="S55" s="13"/>
      <c r="T55" s="13"/>
      <c r="U55" s="13"/>
      <c r="V55" s="18"/>
      <c r="W55" s="13"/>
    </row>
    <row x14ac:dyDescent="0.25" r="56" customHeight="1" ht="18.75">
      <c r="A56" s="24">
        <v>29</v>
      </c>
      <c r="B56" s="25" t="s">
        <v>129</v>
      </c>
      <c r="C56" s="25" t="s">
        <v>234</v>
      </c>
      <c r="D56" s="25" t="s">
        <v>174</v>
      </c>
      <c r="E56" s="25" t="s">
        <v>183</v>
      </c>
      <c r="F56" s="25" t="s">
        <v>235</v>
      </c>
      <c r="G56" s="25" t="s">
        <v>23</v>
      </c>
      <c r="H56" s="26">
        <v>14.1989</v>
      </c>
      <c r="I56" s="25" t="s">
        <v>236</v>
      </c>
      <c r="J56" s="25" t="s">
        <v>32</v>
      </c>
      <c r="K56" s="25" t="s">
        <v>48</v>
      </c>
      <c r="L56" s="27">
        <v>10</v>
      </c>
      <c r="M56" s="28">
        <f>H56*10000*0.25</f>
      </c>
      <c r="N56" s="28">
        <f>M56*L56</f>
      </c>
      <c r="O56" s="28">
        <f>M56*3</f>
      </c>
      <c r="P56" s="28">
        <f>M56*8*0.8</f>
      </c>
      <c r="Q56" s="28">
        <f>P56/70</f>
      </c>
      <c r="R56" s="28">
        <f>Q56*4</f>
      </c>
      <c r="S56" s="13"/>
      <c r="T56" s="13"/>
      <c r="U56" s="13"/>
      <c r="V56" s="18"/>
      <c r="W56" s="13"/>
    </row>
    <row x14ac:dyDescent="0.25" r="57" customHeight="1" ht="36.75">
      <c r="A57" s="24">
        <v>30</v>
      </c>
      <c r="B57" s="25" t="s">
        <v>129</v>
      </c>
      <c r="C57" s="25" t="s">
        <v>237</v>
      </c>
      <c r="D57" s="25" t="s">
        <v>238</v>
      </c>
      <c r="E57" s="25" t="s">
        <v>239</v>
      </c>
      <c r="F57" s="25" t="s">
        <v>240</v>
      </c>
      <c r="G57" s="25" t="s">
        <v>241</v>
      </c>
      <c r="H57" s="26">
        <v>0.94464</v>
      </c>
      <c r="I57" s="25" t="s">
        <v>242</v>
      </c>
      <c r="J57" s="25" t="s">
        <v>25</v>
      </c>
      <c r="K57" s="25" t="s">
        <v>161</v>
      </c>
      <c r="L57" s="27">
        <v>5</v>
      </c>
      <c r="M57" s="28">
        <f>H57*10000*0.25</f>
      </c>
      <c r="N57" s="28">
        <f>M57*L57</f>
      </c>
      <c r="O57" s="28">
        <f>M57*5</f>
      </c>
      <c r="P57" s="28" t="s">
        <v>243</v>
      </c>
      <c r="Q57" s="28" t="s">
        <v>243</v>
      </c>
      <c r="R57" s="28" t="s">
        <v>243</v>
      </c>
      <c r="S57" s="13"/>
      <c r="T57" s="13"/>
      <c r="U57" s="13"/>
      <c r="V57" s="18"/>
      <c r="W57" s="13"/>
    </row>
    <row x14ac:dyDescent="0.25" r="58" customHeight="1" ht="18.75">
      <c r="A58" s="24">
        <v>31</v>
      </c>
      <c r="B58" s="25" t="s">
        <v>129</v>
      </c>
      <c r="C58" s="25" t="s">
        <v>244</v>
      </c>
      <c r="D58" s="25" t="s">
        <v>245</v>
      </c>
      <c r="E58" s="25" t="s">
        <v>246</v>
      </c>
      <c r="F58" s="25" t="s">
        <v>235</v>
      </c>
      <c r="G58" s="25" t="s">
        <v>23</v>
      </c>
      <c r="H58" s="26">
        <v>3.287</v>
      </c>
      <c r="I58" s="25" t="s">
        <v>247</v>
      </c>
      <c r="J58" s="25" t="s">
        <v>32</v>
      </c>
      <c r="K58" s="25" t="s">
        <v>48</v>
      </c>
      <c r="L58" s="27">
        <v>7</v>
      </c>
      <c r="M58" s="28">
        <f>H58*10000*0.25</f>
      </c>
      <c r="N58" s="28">
        <f>M58*L58</f>
      </c>
      <c r="O58" s="28">
        <f>M58*3</f>
      </c>
      <c r="P58" s="28">
        <f>M58*7*0.8</f>
      </c>
      <c r="Q58" s="28">
        <f>P58/70</f>
      </c>
      <c r="R58" s="28">
        <f>Q58*4</f>
      </c>
      <c r="S58" s="13"/>
      <c r="T58" s="13"/>
      <c r="U58" s="13"/>
      <c r="V58" s="18"/>
      <c r="W58" s="13"/>
    </row>
    <row x14ac:dyDescent="0.25" r="59" customHeight="1" ht="18.75">
      <c r="A59" s="24">
        <v>32</v>
      </c>
      <c r="B59" s="25" t="s">
        <v>129</v>
      </c>
      <c r="C59" s="25" t="s">
        <v>248</v>
      </c>
      <c r="D59" s="25" t="s">
        <v>249</v>
      </c>
      <c r="E59" s="25" t="s">
        <v>250</v>
      </c>
      <c r="F59" s="25" t="s">
        <v>251</v>
      </c>
      <c r="G59" s="25" t="s">
        <v>23</v>
      </c>
      <c r="H59" s="24">
        <v>430</v>
      </c>
      <c r="I59" s="25" t="s">
        <v>252</v>
      </c>
      <c r="J59" s="25" t="s">
        <v>25</v>
      </c>
      <c r="K59" s="25" t="s">
        <v>48</v>
      </c>
      <c r="L59" s="27">
        <v>13</v>
      </c>
      <c r="M59" s="28">
        <f>330*10000*25%</f>
      </c>
      <c r="N59" s="28">
        <f>M59*L59</f>
      </c>
      <c r="O59" s="28">
        <f>M59*5</f>
      </c>
      <c r="P59" s="28">
        <f>M59*10*0.8</f>
      </c>
      <c r="Q59" s="28">
        <f>P59/70</f>
      </c>
      <c r="R59" s="28">
        <f>Q59*4</f>
      </c>
      <c r="S59" s="13"/>
      <c r="T59" s="13"/>
      <c r="U59" s="13"/>
      <c r="V59" s="18"/>
      <c r="W59" s="13"/>
    </row>
    <row x14ac:dyDescent="0.25" r="60" customHeight="1" ht="45.75">
      <c r="A60" s="24">
        <v>33</v>
      </c>
      <c r="B60" s="25" t="s">
        <v>129</v>
      </c>
      <c r="C60" s="25" t="s">
        <v>253</v>
      </c>
      <c r="D60" s="25" t="s">
        <v>254</v>
      </c>
      <c r="E60" s="25" t="s">
        <v>255</v>
      </c>
      <c r="F60" s="25" t="s">
        <v>256</v>
      </c>
      <c r="G60" s="25" t="s">
        <v>30</v>
      </c>
      <c r="H60" s="26">
        <v>0.5</v>
      </c>
      <c r="I60" s="25" t="s">
        <v>257</v>
      </c>
      <c r="J60" s="25" t="s">
        <v>25</v>
      </c>
      <c r="K60" s="25" t="s">
        <v>48</v>
      </c>
      <c r="L60" s="29">
        <v>13</v>
      </c>
      <c r="M60" s="28">
        <f>H60*10000*0.25</f>
      </c>
      <c r="N60" s="28">
        <f>M60*L60</f>
      </c>
      <c r="O60" s="28">
        <f>M60*L60</f>
      </c>
      <c r="P60" s="28">
        <v>0</v>
      </c>
      <c r="Q60" s="28">
        <v>0</v>
      </c>
      <c r="R60" s="28">
        <v>0</v>
      </c>
      <c r="S60" s="13"/>
      <c r="T60" s="13"/>
      <c r="U60" s="13"/>
      <c r="V60" s="18"/>
      <c r="W60" s="13"/>
    </row>
    <row x14ac:dyDescent="0.25" r="61" customHeight="1" ht="45.75">
      <c r="A61" s="24">
        <v>34</v>
      </c>
      <c r="B61" s="25" t="s">
        <v>129</v>
      </c>
      <c r="C61" s="25" t="s">
        <v>258</v>
      </c>
      <c r="D61" s="25" t="s">
        <v>259</v>
      </c>
      <c r="E61" s="25" t="s">
        <v>175</v>
      </c>
      <c r="F61" s="25" t="s">
        <v>260</v>
      </c>
      <c r="G61" s="25" t="s">
        <v>23</v>
      </c>
      <c r="H61" s="26">
        <v>0.48</v>
      </c>
      <c r="I61" s="25" t="s">
        <v>261</v>
      </c>
      <c r="J61" s="25" t="s">
        <v>25</v>
      </c>
      <c r="K61" s="25" t="s">
        <v>48</v>
      </c>
      <c r="L61" s="29">
        <v>12</v>
      </c>
      <c r="M61" s="28">
        <f>H61*10000*0.25</f>
      </c>
      <c r="N61" s="28">
        <f>M61*L61</f>
      </c>
      <c r="O61" s="28">
        <f>M61*3</f>
      </c>
      <c r="P61" s="28">
        <f>M61*9*0.8</f>
      </c>
      <c r="Q61" s="28">
        <f>P61/70</f>
      </c>
      <c r="R61" s="28">
        <f>Q61*4</f>
      </c>
      <c r="S61" s="13"/>
      <c r="T61" s="13"/>
      <c r="U61" s="13"/>
      <c r="V61" s="18"/>
      <c r="W61" s="13"/>
    </row>
    <row x14ac:dyDescent="0.25" r="62" customHeight="1" ht="45.75">
      <c r="A62" s="24">
        <v>35</v>
      </c>
      <c r="B62" s="25" t="s">
        <v>129</v>
      </c>
      <c r="C62" s="25" t="s">
        <v>262</v>
      </c>
      <c r="D62" s="25" t="s">
        <v>263</v>
      </c>
      <c r="E62" s="25" t="s">
        <v>141</v>
      </c>
      <c r="F62" s="25" t="s">
        <v>264</v>
      </c>
      <c r="G62" s="25" t="s">
        <v>104</v>
      </c>
      <c r="H62" s="26">
        <v>0.05</v>
      </c>
      <c r="I62" s="25" t="s">
        <v>265</v>
      </c>
      <c r="J62" s="25" t="s">
        <v>25</v>
      </c>
      <c r="K62" s="25" t="s">
        <v>48</v>
      </c>
      <c r="L62" s="29">
        <v>5</v>
      </c>
      <c r="M62" s="28">
        <f>H62*10000*0.25</f>
      </c>
      <c r="N62" s="28">
        <f>M62*L62</f>
      </c>
      <c r="O62" s="28">
        <f>M62*L62</f>
      </c>
      <c r="P62" s="28">
        <v>0</v>
      </c>
      <c r="Q62" s="28">
        <v>0</v>
      </c>
      <c r="R62" s="28">
        <v>0</v>
      </c>
      <c r="S62" s="13"/>
      <c r="T62" s="13"/>
      <c r="U62" s="13"/>
      <c r="V62" s="18"/>
      <c r="W62" s="13"/>
    </row>
    <row x14ac:dyDescent="0.25" r="63" customHeight="1" ht="45.75">
      <c r="A63" s="24">
        <v>36</v>
      </c>
      <c r="B63" s="25" t="s">
        <v>129</v>
      </c>
      <c r="C63" s="25" t="s">
        <v>266</v>
      </c>
      <c r="D63" s="25" t="s">
        <v>238</v>
      </c>
      <c r="E63" s="25" t="s">
        <v>141</v>
      </c>
      <c r="F63" s="25" t="s">
        <v>264</v>
      </c>
      <c r="G63" s="25" t="s">
        <v>104</v>
      </c>
      <c r="H63" s="26">
        <v>0.05</v>
      </c>
      <c r="I63" s="25" t="s">
        <v>267</v>
      </c>
      <c r="J63" s="25" t="s">
        <v>25</v>
      </c>
      <c r="K63" s="25" t="s">
        <v>48</v>
      </c>
      <c r="L63" s="29">
        <v>5</v>
      </c>
      <c r="M63" s="28">
        <f>H63*10000*0.25</f>
      </c>
      <c r="N63" s="28">
        <f>M63*L63</f>
      </c>
      <c r="O63" s="28">
        <f>M63*L63</f>
      </c>
      <c r="P63" s="28">
        <v>0</v>
      </c>
      <c r="Q63" s="28">
        <v>0</v>
      </c>
      <c r="R63" s="28">
        <v>0</v>
      </c>
      <c r="S63" s="13"/>
      <c r="T63" s="13"/>
      <c r="U63" s="13"/>
      <c r="V63" s="18"/>
      <c r="W63" s="13"/>
    </row>
    <row x14ac:dyDescent="0.25" r="64" customHeight="1" ht="45.75">
      <c r="A64" s="24">
        <v>37</v>
      </c>
      <c r="B64" s="25" t="s">
        <v>129</v>
      </c>
      <c r="C64" s="25" t="s">
        <v>268</v>
      </c>
      <c r="D64" s="25" t="s">
        <v>269</v>
      </c>
      <c r="E64" s="25" t="s">
        <v>141</v>
      </c>
      <c r="F64" s="25" t="s">
        <v>264</v>
      </c>
      <c r="G64" s="25" t="s">
        <v>104</v>
      </c>
      <c r="H64" s="26">
        <v>0.05</v>
      </c>
      <c r="I64" s="25" t="s">
        <v>270</v>
      </c>
      <c r="J64" s="25" t="s">
        <v>25</v>
      </c>
      <c r="K64" s="25" t="s">
        <v>48</v>
      </c>
      <c r="L64" s="29">
        <v>5</v>
      </c>
      <c r="M64" s="28">
        <f>H64*10000*0.25</f>
      </c>
      <c r="N64" s="28">
        <f>M64*L64</f>
      </c>
      <c r="O64" s="28">
        <f>M64*L64</f>
      </c>
      <c r="P64" s="28">
        <v>0</v>
      </c>
      <c r="Q64" s="28">
        <v>0</v>
      </c>
      <c r="R64" s="28">
        <v>0</v>
      </c>
      <c r="S64" s="13"/>
      <c r="T64" s="13"/>
      <c r="U64" s="13"/>
      <c r="V64" s="18"/>
      <c r="W64" s="13"/>
    </row>
    <row x14ac:dyDescent="0.25" r="65" customHeight="1" ht="45.75">
      <c r="A65" s="24">
        <v>38</v>
      </c>
      <c r="B65" s="25" t="s">
        <v>129</v>
      </c>
      <c r="C65" s="25" t="s">
        <v>271</v>
      </c>
      <c r="D65" s="25" t="s">
        <v>238</v>
      </c>
      <c r="E65" s="25" t="s">
        <v>141</v>
      </c>
      <c r="F65" s="25" t="s">
        <v>264</v>
      </c>
      <c r="G65" s="25" t="s">
        <v>104</v>
      </c>
      <c r="H65" s="26">
        <v>0.05</v>
      </c>
      <c r="I65" s="25" t="s">
        <v>272</v>
      </c>
      <c r="J65" s="25" t="s">
        <v>25</v>
      </c>
      <c r="K65" s="25" t="s">
        <v>48</v>
      </c>
      <c r="L65" s="29">
        <v>5</v>
      </c>
      <c r="M65" s="28">
        <f>H65*10000*0.25</f>
      </c>
      <c r="N65" s="28">
        <f>M65*L65</f>
      </c>
      <c r="O65" s="28">
        <f>M65*L65</f>
      </c>
      <c r="P65" s="28">
        <v>0</v>
      </c>
      <c r="Q65" s="28">
        <v>0</v>
      </c>
      <c r="R65" s="28">
        <v>0</v>
      </c>
      <c r="S65" s="13"/>
      <c r="T65" s="13"/>
      <c r="U65" s="13"/>
      <c r="V65" s="18"/>
      <c r="W65" s="13"/>
    </row>
    <row x14ac:dyDescent="0.25" r="66" customHeight="1" ht="45.75">
      <c r="A66" s="24">
        <v>39</v>
      </c>
      <c r="B66" s="25" t="s">
        <v>129</v>
      </c>
      <c r="C66" s="25" t="s">
        <v>273</v>
      </c>
      <c r="D66" s="25" t="s">
        <v>238</v>
      </c>
      <c r="E66" s="25" t="s">
        <v>141</v>
      </c>
      <c r="F66" s="25" t="s">
        <v>264</v>
      </c>
      <c r="G66" s="25" t="s">
        <v>104</v>
      </c>
      <c r="H66" s="26">
        <v>0.05</v>
      </c>
      <c r="I66" s="25" t="s">
        <v>274</v>
      </c>
      <c r="J66" s="25" t="s">
        <v>25</v>
      </c>
      <c r="K66" s="25" t="s">
        <v>48</v>
      </c>
      <c r="L66" s="29">
        <v>5</v>
      </c>
      <c r="M66" s="28">
        <f>H66*10000*0.25</f>
      </c>
      <c r="N66" s="28">
        <f>M66*L66</f>
      </c>
      <c r="O66" s="28">
        <f>M66*L66</f>
      </c>
      <c r="P66" s="28">
        <v>0</v>
      </c>
      <c r="Q66" s="28">
        <v>0</v>
      </c>
      <c r="R66" s="28">
        <v>0</v>
      </c>
      <c r="S66" s="13"/>
      <c r="T66" s="13"/>
      <c r="U66" s="13"/>
      <c r="V66" s="18"/>
      <c r="W66" s="13"/>
    </row>
    <row x14ac:dyDescent="0.25" r="67" customHeight="1" ht="45.75">
      <c r="A67" s="24">
        <v>40</v>
      </c>
      <c r="B67" s="25" t="s">
        <v>129</v>
      </c>
      <c r="C67" s="25" t="s">
        <v>220</v>
      </c>
      <c r="D67" s="25" t="s">
        <v>238</v>
      </c>
      <c r="E67" s="25" t="s">
        <v>275</v>
      </c>
      <c r="F67" s="25" t="s">
        <v>276</v>
      </c>
      <c r="G67" s="25" t="s">
        <v>147</v>
      </c>
      <c r="H67" s="26">
        <v>0.05</v>
      </c>
      <c r="I67" s="25" t="s">
        <v>277</v>
      </c>
      <c r="J67" s="25" t="s">
        <v>25</v>
      </c>
      <c r="K67" s="25" t="s">
        <v>48</v>
      </c>
      <c r="L67" s="29">
        <v>7</v>
      </c>
      <c r="M67" s="28">
        <f>H67*10000*0.25</f>
      </c>
      <c r="N67" s="28">
        <f>M67*L67</f>
      </c>
      <c r="O67" s="28">
        <f>M67*L67</f>
      </c>
      <c r="P67" s="28">
        <v>0</v>
      </c>
      <c r="Q67" s="28">
        <v>0</v>
      </c>
      <c r="R67" s="28">
        <v>0</v>
      </c>
      <c r="S67" s="13"/>
      <c r="T67" s="13"/>
      <c r="U67" s="13"/>
      <c r="V67" s="18"/>
      <c r="W67" s="13"/>
    </row>
    <row x14ac:dyDescent="0.25" r="68" customHeight="1" ht="18.75" customFormat="1" s="1">
      <c r="A68" s="30">
        <v>1</v>
      </c>
      <c r="B68" s="31" t="s">
        <v>278</v>
      </c>
      <c r="C68" s="31" t="s">
        <v>279</v>
      </c>
      <c r="D68" s="31" t="s">
        <v>280</v>
      </c>
      <c r="E68" s="31" t="s">
        <v>281</v>
      </c>
      <c r="F68" s="31" t="s">
        <v>282</v>
      </c>
      <c r="G68" s="31" t="s">
        <v>23</v>
      </c>
      <c r="H68" s="32">
        <v>14.3</v>
      </c>
      <c r="I68" s="31" t="s">
        <v>283</v>
      </c>
      <c r="J68" s="31" t="s">
        <v>32</v>
      </c>
      <c r="K68" s="31" t="s">
        <v>59</v>
      </c>
      <c r="L68" s="17">
        <v>13</v>
      </c>
      <c r="M68" s="33">
        <f>H68*10000*0.25</f>
      </c>
      <c r="N68" s="33">
        <f>M68*13</f>
      </c>
      <c r="O68" s="33">
        <f>M68*3</f>
      </c>
      <c r="P68" s="33">
        <f>M68*10*0.8</f>
      </c>
      <c r="Q68" s="33">
        <f>P68/65</f>
      </c>
      <c r="R68" s="33">
        <f>Q68*4</f>
      </c>
      <c r="S68" s="13"/>
      <c r="T68" s="13"/>
      <c r="U68" s="13"/>
      <c r="V68" s="13"/>
      <c r="W68" s="13"/>
    </row>
    <row x14ac:dyDescent="0.25" r="69" customHeight="1" ht="18.75" customFormat="1" s="1">
      <c r="A69" s="30">
        <v>2</v>
      </c>
      <c r="B69" s="31" t="s">
        <v>278</v>
      </c>
      <c r="C69" s="31" t="s">
        <v>284</v>
      </c>
      <c r="D69" s="31" t="s">
        <v>280</v>
      </c>
      <c r="E69" s="31" t="s">
        <v>281</v>
      </c>
      <c r="F69" s="31" t="s">
        <v>285</v>
      </c>
      <c r="G69" s="31" t="s">
        <v>23</v>
      </c>
      <c r="H69" s="32">
        <v>11.7</v>
      </c>
      <c r="I69" s="31" t="s">
        <v>286</v>
      </c>
      <c r="J69" s="31" t="s">
        <v>25</v>
      </c>
      <c r="K69" s="31" t="s">
        <v>59</v>
      </c>
      <c r="L69" s="17">
        <v>10</v>
      </c>
      <c r="M69" s="33">
        <f>H69*10000*0.25</f>
      </c>
      <c r="N69" s="33">
        <f>M69*L69</f>
      </c>
      <c r="O69" s="33">
        <f>M69*2</f>
      </c>
      <c r="P69" s="33">
        <f>M69*8*0.8</f>
      </c>
      <c r="Q69" s="33">
        <f>P69/70</f>
      </c>
      <c r="R69" s="33">
        <f>Q69*4</f>
      </c>
      <c r="S69" s="13"/>
      <c r="T69" s="13"/>
      <c r="U69" s="13"/>
      <c r="V69" s="13"/>
      <c r="W69" s="13"/>
    </row>
    <row x14ac:dyDescent="0.25" r="70" customHeight="1" ht="18.75" customFormat="1" s="1">
      <c r="A70" s="30">
        <v>3</v>
      </c>
      <c r="B70" s="31" t="s">
        <v>278</v>
      </c>
      <c r="C70" s="31" t="s">
        <v>287</v>
      </c>
      <c r="D70" s="31" t="s">
        <v>288</v>
      </c>
      <c r="E70" s="31" t="s">
        <v>281</v>
      </c>
      <c r="F70" s="31" t="s">
        <v>289</v>
      </c>
      <c r="G70" s="31" t="s">
        <v>23</v>
      </c>
      <c r="H70" s="32">
        <v>89.7</v>
      </c>
      <c r="I70" s="31" t="s">
        <v>290</v>
      </c>
      <c r="J70" s="31" t="s">
        <v>32</v>
      </c>
      <c r="K70" s="31" t="s">
        <v>59</v>
      </c>
      <c r="L70" s="17">
        <v>16</v>
      </c>
      <c r="M70" s="33">
        <f>H70*10000*0.25</f>
      </c>
      <c r="N70" s="33">
        <f>M70*16</f>
      </c>
      <c r="O70" s="33">
        <f>M70*3</f>
      </c>
      <c r="P70" s="33">
        <f>M70*13*0.8</f>
      </c>
      <c r="Q70" s="33">
        <f>P70/70</f>
      </c>
      <c r="R70" s="33">
        <f>Q70*4</f>
      </c>
      <c r="S70" s="13"/>
      <c r="T70" s="13"/>
      <c r="U70" s="13"/>
      <c r="V70" s="13"/>
      <c r="W70" s="13"/>
    </row>
    <row x14ac:dyDescent="0.25" r="71" customHeight="1" ht="18.75" customFormat="1" s="1">
      <c r="A71" s="30">
        <v>4</v>
      </c>
      <c r="B71" s="31" t="s">
        <v>278</v>
      </c>
      <c r="C71" s="31" t="s">
        <v>291</v>
      </c>
      <c r="D71" s="31" t="s">
        <v>292</v>
      </c>
      <c r="E71" s="31" t="s">
        <v>293</v>
      </c>
      <c r="F71" s="31" t="s">
        <v>294</v>
      </c>
      <c r="G71" s="31" t="s">
        <v>23</v>
      </c>
      <c r="H71" s="32">
        <v>80.4</v>
      </c>
      <c r="I71" s="31" t="s">
        <v>295</v>
      </c>
      <c r="J71" s="31" t="s">
        <v>32</v>
      </c>
      <c r="K71" s="31" t="s">
        <v>59</v>
      </c>
      <c r="L71" s="17">
        <v>20</v>
      </c>
      <c r="M71" s="33">
        <f>H71*10000*0.25</f>
      </c>
      <c r="N71" s="33">
        <f>M71*20</f>
      </c>
      <c r="O71" s="33">
        <f>M71*5</f>
      </c>
      <c r="P71" s="33">
        <f>M71*15*0.8</f>
      </c>
      <c r="Q71" s="33">
        <f>P71/70</f>
      </c>
      <c r="R71" s="33">
        <f>Q71*4</f>
      </c>
      <c r="S71" s="34"/>
      <c r="T71" s="34"/>
      <c r="U71" s="35"/>
      <c r="V71" s="13"/>
      <c r="W71" s="35"/>
    </row>
    <row x14ac:dyDescent="0.25" r="72" customHeight="1" ht="18.75" customFormat="1" s="1">
      <c r="A72" s="30">
        <v>5</v>
      </c>
      <c r="B72" s="31" t="s">
        <v>278</v>
      </c>
      <c r="C72" s="31" t="s">
        <v>291</v>
      </c>
      <c r="D72" s="31" t="s">
        <v>296</v>
      </c>
      <c r="E72" s="31" t="s">
        <v>297</v>
      </c>
      <c r="F72" s="31" t="s">
        <v>298</v>
      </c>
      <c r="G72" s="31" t="s">
        <v>23</v>
      </c>
      <c r="H72" s="30">
        <v>24</v>
      </c>
      <c r="I72" s="31" t="s">
        <v>299</v>
      </c>
      <c r="J72" s="31" t="s">
        <v>32</v>
      </c>
      <c r="K72" s="31" t="s">
        <v>59</v>
      </c>
      <c r="L72" s="17">
        <v>13</v>
      </c>
      <c r="M72" s="33">
        <f>H72*10000*0.25</f>
      </c>
      <c r="N72" s="33">
        <f>M72*13</f>
      </c>
      <c r="O72" s="33">
        <f>M72*3</f>
      </c>
      <c r="P72" s="33">
        <f>M72*10*0.8</f>
      </c>
      <c r="Q72" s="33">
        <f>P72/70</f>
      </c>
      <c r="R72" s="33">
        <f>Q72*4</f>
      </c>
      <c r="S72" s="13"/>
      <c r="T72" s="13"/>
      <c r="U72" s="13"/>
      <c r="V72" s="13"/>
      <c r="W72" s="13"/>
    </row>
    <row x14ac:dyDescent="0.25" r="73" customHeight="1" ht="18.75" customFormat="1" s="1">
      <c r="A73" s="30">
        <v>6</v>
      </c>
      <c r="B73" s="31" t="s">
        <v>278</v>
      </c>
      <c r="C73" s="31" t="s">
        <v>300</v>
      </c>
      <c r="D73" s="31" t="s">
        <v>301</v>
      </c>
      <c r="E73" s="31" t="s">
        <v>302</v>
      </c>
      <c r="F73" s="31" t="s">
        <v>303</v>
      </c>
      <c r="G73" s="31" t="s">
        <v>30</v>
      </c>
      <c r="H73" s="32">
        <v>17.3</v>
      </c>
      <c r="I73" s="31" t="s">
        <v>304</v>
      </c>
      <c r="J73" s="31" t="s">
        <v>305</v>
      </c>
      <c r="K73" s="31" t="s">
        <v>59</v>
      </c>
      <c r="L73" s="17">
        <v>10</v>
      </c>
      <c r="M73" s="33">
        <f>H73*10000*0.25</f>
      </c>
      <c r="N73" s="33">
        <f>M73*L73</f>
      </c>
      <c r="O73" s="33">
        <f>M73*2</f>
      </c>
      <c r="P73" s="33">
        <f>M73*8*0.8</f>
      </c>
      <c r="Q73" s="33">
        <f>P73/70</f>
      </c>
      <c r="R73" s="33">
        <f>Q73*4</f>
      </c>
      <c r="S73" s="13"/>
      <c r="T73" s="13"/>
      <c r="U73" s="13"/>
      <c r="V73" s="13"/>
      <c r="W73" s="13"/>
    </row>
    <row x14ac:dyDescent="0.25" r="74" customHeight="1" ht="18.75" customFormat="1" s="1">
      <c r="A74" s="30">
        <v>7</v>
      </c>
      <c r="B74" s="31" t="s">
        <v>278</v>
      </c>
      <c r="C74" s="31" t="s">
        <v>300</v>
      </c>
      <c r="D74" s="31" t="s">
        <v>306</v>
      </c>
      <c r="E74" s="31" t="s">
        <v>307</v>
      </c>
      <c r="F74" s="31" t="s">
        <v>308</v>
      </c>
      <c r="G74" s="31" t="s">
        <v>30</v>
      </c>
      <c r="H74" s="30">
        <v>13</v>
      </c>
      <c r="I74" s="31" t="s">
        <v>309</v>
      </c>
      <c r="J74" s="31" t="s">
        <v>305</v>
      </c>
      <c r="K74" s="31" t="s">
        <v>59</v>
      </c>
      <c r="L74" s="17">
        <v>9</v>
      </c>
      <c r="M74" s="33">
        <f>H74*10000*0.25</f>
      </c>
      <c r="N74" s="33">
        <f>M74*L74</f>
      </c>
      <c r="O74" s="33">
        <f>M74*L74</f>
      </c>
      <c r="P74" s="33">
        <v>0</v>
      </c>
      <c r="Q74" s="33">
        <f>P74/70</f>
      </c>
      <c r="R74" s="33">
        <f>Q74*4</f>
      </c>
      <c r="S74" s="13"/>
      <c r="T74" s="13"/>
      <c r="U74" s="13"/>
      <c r="V74" s="13"/>
      <c r="W74" s="13"/>
    </row>
    <row x14ac:dyDescent="0.25" r="75" customHeight="1" ht="18.75" customFormat="1" s="1">
      <c r="A75" s="30">
        <v>8</v>
      </c>
      <c r="B75" s="31" t="s">
        <v>278</v>
      </c>
      <c r="C75" s="31" t="s">
        <v>300</v>
      </c>
      <c r="D75" s="31" t="s">
        <v>310</v>
      </c>
      <c r="E75" s="31" t="s">
        <v>311</v>
      </c>
      <c r="F75" s="31" t="s">
        <v>312</v>
      </c>
      <c r="G75" s="31" t="s">
        <v>23</v>
      </c>
      <c r="H75" s="32">
        <v>41.6</v>
      </c>
      <c r="I75" s="31" t="s">
        <v>313</v>
      </c>
      <c r="J75" s="31" t="s">
        <v>32</v>
      </c>
      <c r="K75" s="31" t="s">
        <v>59</v>
      </c>
      <c r="L75" s="17">
        <v>13</v>
      </c>
      <c r="M75" s="33">
        <f>H75*10000*0.25</f>
      </c>
      <c r="N75" s="33">
        <f>M75*L75</f>
      </c>
      <c r="O75" s="33">
        <f>M75*3</f>
      </c>
      <c r="P75" s="33">
        <f>M75*10*0.8</f>
      </c>
      <c r="Q75" s="33">
        <f>P75/70</f>
      </c>
      <c r="R75" s="33">
        <f>Q75*4</f>
      </c>
      <c r="S75" s="13"/>
      <c r="T75" s="13"/>
      <c r="U75" s="13"/>
      <c r="V75" s="13"/>
      <c r="W75" s="13"/>
    </row>
    <row x14ac:dyDescent="0.25" r="76" customHeight="1" ht="18.75" customFormat="1" s="1">
      <c r="A76" s="30">
        <v>9</v>
      </c>
      <c r="B76" s="31" t="s">
        <v>278</v>
      </c>
      <c r="C76" s="31" t="s">
        <v>314</v>
      </c>
      <c r="D76" s="31" t="s">
        <v>306</v>
      </c>
      <c r="E76" s="31" t="s">
        <v>315</v>
      </c>
      <c r="F76" s="31" t="s">
        <v>316</v>
      </c>
      <c r="G76" s="31" t="s">
        <v>23</v>
      </c>
      <c r="H76" s="32">
        <v>0.3</v>
      </c>
      <c r="I76" s="31" t="s">
        <v>317</v>
      </c>
      <c r="J76" s="31" t="s">
        <v>32</v>
      </c>
      <c r="K76" s="31" t="s">
        <v>59</v>
      </c>
      <c r="L76" s="17">
        <v>9</v>
      </c>
      <c r="M76" s="33">
        <f>H76*10000*0.25</f>
      </c>
      <c r="N76" s="33">
        <f>M76*L76</f>
      </c>
      <c r="O76" s="33">
        <f>M76*2</f>
      </c>
      <c r="P76" s="33">
        <f>M76*7*0.8</f>
      </c>
      <c r="Q76" s="33">
        <f>P76/70</f>
      </c>
      <c r="R76" s="33">
        <f>Q76*4</f>
      </c>
      <c r="S76" s="13"/>
      <c r="T76" s="13"/>
      <c r="U76" s="13"/>
      <c r="V76" s="13"/>
      <c r="W76" s="13"/>
    </row>
    <row x14ac:dyDescent="0.25" r="77" customHeight="1" ht="18.75" customFormat="1" s="1">
      <c r="A77" s="30">
        <v>10</v>
      </c>
      <c r="B77" s="31" t="s">
        <v>278</v>
      </c>
      <c r="C77" s="31" t="s">
        <v>318</v>
      </c>
      <c r="D77" s="31" t="s">
        <v>306</v>
      </c>
      <c r="E77" s="31" t="s">
        <v>302</v>
      </c>
      <c r="F77" s="31" t="s">
        <v>316</v>
      </c>
      <c r="G77" s="31" t="s">
        <v>23</v>
      </c>
      <c r="H77" s="32">
        <v>1.3</v>
      </c>
      <c r="I77" s="31" t="s">
        <v>319</v>
      </c>
      <c r="J77" s="31" t="s">
        <v>25</v>
      </c>
      <c r="K77" s="31" t="s">
        <v>48</v>
      </c>
      <c r="L77" s="17">
        <v>16</v>
      </c>
      <c r="M77" s="33">
        <f>H77*10000*0.25</f>
      </c>
      <c r="N77" s="33">
        <f>M77*L77</f>
      </c>
      <c r="O77" s="33">
        <f>M77*3</f>
      </c>
      <c r="P77" s="33">
        <f>M77*13*0.8</f>
      </c>
      <c r="Q77" s="33">
        <f>P77/70</f>
      </c>
      <c r="R77" s="33">
        <f>Q77*4</f>
      </c>
      <c r="S77" s="13"/>
      <c r="T77" s="13"/>
      <c r="U77" s="13"/>
      <c r="V77" s="13"/>
      <c r="W77" s="13"/>
    </row>
    <row x14ac:dyDescent="0.25" r="78" customHeight="1" ht="18.75" customFormat="1" s="1">
      <c r="A78" s="30">
        <v>11</v>
      </c>
      <c r="B78" s="31" t="s">
        <v>278</v>
      </c>
      <c r="C78" s="31" t="s">
        <v>320</v>
      </c>
      <c r="D78" s="31" t="s">
        <v>306</v>
      </c>
      <c r="E78" s="31" t="s">
        <v>302</v>
      </c>
      <c r="F78" s="31" t="s">
        <v>321</v>
      </c>
      <c r="G78" s="31" t="s">
        <v>23</v>
      </c>
      <c r="H78" s="30">
        <v>2</v>
      </c>
      <c r="I78" s="31" t="s">
        <v>322</v>
      </c>
      <c r="J78" s="31" t="s">
        <v>25</v>
      </c>
      <c r="K78" s="31" t="s">
        <v>48</v>
      </c>
      <c r="L78" s="17">
        <v>16</v>
      </c>
      <c r="M78" s="33">
        <f>H78*10000*0.25</f>
      </c>
      <c r="N78" s="33">
        <f>M78*L78</f>
      </c>
      <c r="O78" s="33">
        <f>M78*3</f>
      </c>
      <c r="P78" s="33">
        <f>M78*13*0.8</f>
      </c>
      <c r="Q78" s="33">
        <f>P78/70</f>
      </c>
      <c r="R78" s="33">
        <f>Q78*4</f>
      </c>
      <c r="S78" s="13"/>
      <c r="T78" s="13"/>
      <c r="U78" s="13"/>
      <c r="V78" s="13"/>
      <c r="W78" s="13"/>
    </row>
    <row x14ac:dyDescent="0.25" r="79" customHeight="1" ht="18.75" customFormat="1" s="1">
      <c r="A79" s="30">
        <v>12</v>
      </c>
      <c r="B79" s="31" t="s">
        <v>278</v>
      </c>
      <c r="C79" s="31" t="s">
        <v>323</v>
      </c>
      <c r="D79" s="31" t="s">
        <v>306</v>
      </c>
      <c r="E79" s="31" t="s">
        <v>302</v>
      </c>
      <c r="F79" s="31" t="s">
        <v>298</v>
      </c>
      <c r="G79" s="31" t="s">
        <v>23</v>
      </c>
      <c r="H79" s="30">
        <v>22</v>
      </c>
      <c r="I79" s="31" t="s">
        <v>324</v>
      </c>
      <c r="J79" s="31" t="s">
        <v>25</v>
      </c>
      <c r="K79" s="31" t="s">
        <v>48</v>
      </c>
      <c r="L79" s="17">
        <v>10</v>
      </c>
      <c r="M79" s="33">
        <f>H79*10000*0.25</f>
      </c>
      <c r="N79" s="33">
        <f>M79*L79</f>
      </c>
      <c r="O79" s="33">
        <f>M79*2</f>
      </c>
      <c r="P79" s="33">
        <f>M79*8*0.8</f>
      </c>
      <c r="Q79" s="33">
        <f>P79/70</f>
      </c>
      <c r="R79" s="33">
        <f>Q79*4</f>
      </c>
      <c r="S79" s="13"/>
      <c r="T79" s="13"/>
      <c r="U79" s="13"/>
      <c r="V79" s="13"/>
      <c r="W79" s="13"/>
    </row>
    <row x14ac:dyDescent="0.25" r="80" customHeight="1" ht="18.75" customFormat="1" s="1">
      <c r="A80" s="30">
        <v>13</v>
      </c>
      <c r="B80" s="31" t="s">
        <v>278</v>
      </c>
      <c r="C80" s="31" t="s">
        <v>323</v>
      </c>
      <c r="D80" s="31" t="s">
        <v>306</v>
      </c>
      <c r="E80" s="31" t="s">
        <v>302</v>
      </c>
      <c r="F80" s="31" t="s">
        <v>325</v>
      </c>
      <c r="G80" s="31" t="s">
        <v>147</v>
      </c>
      <c r="H80" s="32">
        <v>1.45</v>
      </c>
      <c r="I80" s="31" t="s">
        <v>326</v>
      </c>
      <c r="J80" s="31" t="s">
        <v>305</v>
      </c>
      <c r="K80" s="31" t="s">
        <v>48</v>
      </c>
      <c r="L80" s="17">
        <v>16</v>
      </c>
      <c r="M80" s="33">
        <f>H80*10000*0.25</f>
      </c>
      <c r="N80" s="33">
        <f>M80*L80</f>
      </c>
      <c r="O80" s="33">
        <f>M80*L80</f>
      </c>
      <c r="P80" s="33">
        <v>0</v>
      </c>
      <c r="Q80" s="33">
        <v>0</v>
      </c>
      <c r="R80" s="33">
        <f>Q80*4</f>
      </c>
      <c r="S80" s="13"/>
      <c r="T80" s="13"/>
      <c r="U80" s="13"/>
      <c r="V80" s="13"/>
      <c r="W80" s="13"/>
    </row>
    <row x14ac:dyDescent="0.25" r="81" customHeight="1" ht="18.75" customFormat="1" s="1">
      <c r="A81" s="30">
        <v>14</v>
      </c>
      <c r="B81" s="31" t="s">
        <v>278</v>
      </c>
      <c r="C81" s="31" t="s">
        <v>327</v>
      </c>
      <c r="D81" s="31" t="s">
        <v>328</v>
      </c>
      <c r="E81" s="31" t="s">
        <v>302</v>
      </c>
      <c r="F81" s="31" t="s">
        <v>329</v>
      </c>
      <c r="G81" s="31" t="s">
        <v>23</v>
      </c>
      <c r="H81" s="30">
        <v>70</v>
      </c>
      <c r="I81" s="31" t="s">
        <v>330</v>
      </c>
      <c r="J81" s="31" t="s">
        <v>25</v>
      </c>
      <c r="K81" s="31" t="s">
        <v>59</v>
      </c>
      <c r="L81" s="17">
        <v>13</v>
      </c>
      <c r="M81" s="33">
        <f>H81*10000*0.25</f>
      </c>
      <c r="N81" s="33">
        <f>M81*L81</f>
      </c>
      <c r="O81" s="33">
        <f>M81*3</f>
      </c>
      <c r="P81" s="33">
        <f>M81*10*0.8</f>
      </c>
      <c r="Q81" s="33">
        <f>P81/70</f>
      </c>
      <c r="R81" s="33">
        <f>Q81*4</f>
      </c>
      <c r="S81" s="13"/>
      <c r="T81" s="13"/>
      <c r="U81" s="13"/>
      <c r="V81" s="13"/>
      <c r="W81" s="13"/>
    </row>
    <row x14ac:dyDescent="0.25" r="82" customHeight="1" ht="18.75" customFormat="1" s="1">
      <c r="A82" s="30">
        <v>15</v>
      </c>
      <c r="B82" s="31" t="s">
        <v>278</v>
      </c>
      <c r="C82" s="31" t="s">
        <v>331</v>
      </c>
      <c r="D82" s="31" t="s">
        <v>332</v>
      </c>
      <c r="E82" s="31" t="s">
        <v>311</v>
      </c>
      <c r="F82" s="31" t="s">
        <v>298</v>
      </c>
      <c r="G82" s="31" t="s">
        <v>23</v>
      </c>
      <c r="H82" s="30">
        <v>32</v>
      </c>
      <c r="I82" s="31" t="s">
        <v>333</v>
      </c>
      <c r="J82" s="31" t="s">
        <v>32</v>
      </c>
      <c r="K82" s="31" t="s">
        <v>26</v>
      </c>
      <c r="L82" s="17">
        <v>13</v>
      </c>
      <c r="M82" s="33">
        <f>H82*10000*0.25</f>
      </c>
      <c r="N82" s="33">
        <f>M82*L82</f>
      </c>
      <c r="O82" s="33">
        <f>M82*3</f>
      </c>
      <c r="P82" s="33">
        <f>M82*10*0.8</f>
      </c>
      <c r="Q82" s="33">
        <f>P82/70</f>
      </c>
      <c r="R82" s="33">
        <f>Q82*4</f>
      </c>
      <c r="S82" s="13"/>
      <c r="T82" s="13"/>
      <c r="U82" s="13"/>
      <c r="V82" s="13"/>
      <c r="W82" s="13"/>
    </row>
    <row x14ac:dyDescent="0.25" r="83" customHeight="1" ht="18.75" customFormat="1" s="1">
      <c r="A83" s="30">
        <v>16</v>
      </c>
      <c r="B83" s="31" t="s">
        <v>278</v>
      </c>
      <c r="C83" s="31" t="s">
        <v>331</v>
      </c>
      <c r="D83" s="31" t="s">
        <v>332</v>
      </c>
      <c r="E83" s="31" t="s">
        <v>292</v>
      </c>
      <c r="F83" s="31" t="s">
        <v>308</v>
      </c>
      <c r="G83" s="31" t="s">
        <v>30</v>
      </c>
      <c r="H83" s="30">
        <v>11</v>
      </c>
      <c r="I83" s="31" t="s">
        <v>334</v>
      </c>
      <c r="J83" s="31" t="s">
        <v>335</v>
      </c>
      <c r="K83" s="31" t="s">
        <v>48</v>
      </c>
      <c r="L83" s="17">
        <v>8</v>
      </c>
      <c r="M83" s="33">
        <f>H83*10000*0.25</f>
      </c>
      <c r="N83" s="33">
        <f>M83*L83</f>
      </c>
      <c r="O83" s="33">
        <f>M83*L83</f>
      </c>
      <c r="P83" s="33">
        <v>0</v>
      </c>
      <c r="Q83" s="33">
        <f>P83/70</f>
      </c>
      <c r="R83" s="33">
        <f>Q83*4</f>
      </c>
      <c r="S83" s="13"/>
      <c r="T83" s="13"/>
      <c r="U83" s="13"/>
      <c r="V83" s="13"/>
      <c r="W83" s="13"/>
    </row>
    <row x14ac:dyDescent="0.25" r="84" customHeight="1" ht="18.75" customFormat="1" s="1">
      <c r="A84" s="30">
        <v>17</v>
      </c>
      <c r="B84" s="31" t="s">
        <v>278</v>
      </c>
      <c r="C84" s="31" t="s">
        <v>336</v>
      </c>
      <c r="D84" s="31" t="s">
        <v>337</v>
      </c>
      <c r="E84" s="31" t="s">
        <v>338</v>
      </c>
      <c r="F84" s="31" t="s">
        <v>339</v>
      </c>
      <c r="G84" s="31" t="s">
        <v>30</v>
      </c>
      <c r="H84" s="30">
        <v>6</v>
      </c>
      <c r="I84" s="31" t="s">
        <v>340</v>
      </c>
      <c r="J84" s="31" t="s">
        <v>25</v>
      </c>
      <c r="K84" s="31" t="s">
        <v>48</v>
      </c>
      <c r="L84" s="17">
        <v>3</v>
      </c>
      <c r="M84" s="33">
        <f>H84*10000*0.25</f>
      </c>
      <c r="N84" s="33">
        <f>M84*L84</f>
      </c>
      <c r="O84" s="33">
        <f>M84*L84</f>
      </c>
      <c r="P84" s="33">
        <v>0</v>
      </c>
      <c r="Q84" s="33">
        <f>P84/70</f>
      </c>
      <c r="R84" s="33">
        <f>Q84*4</f>
      </c>
      <c r="S84" s="13"/>
      <c r="T84" s="13"/>
      <c r="U84" s="13"/>
      <c r="V84" s="13"/>
      <c r="W84" s="13"/>
    </row>
    <row x14ac:dyDescent="0.25" r="85" customHeight="1" ht="18.75" customFormat="1" s="1">
      <c r="A85" s="30">
        <v>18</v>
      </c>
      <c r="B85" s="31" t="s">
        <v>278</v>
      </c>
      <c r="C85" s="31" t="s">
        <v>341</v>
      </c>
      <c r="D85" s="31" t="s">
        <v>342</v>
      </c>
      <c r="E85" s="31" t="s">
        <v>332</v>
      </c>
      <c r="F85" s="31" t="s">
        <v>343</v>
      </c>
      <c r="G85" s="31" t="s">
        <v>147</v>
      </c>
      <c r="H85" s="30">
        <v>1</v>
      </c>
      <c r="I85" s="31" t="s">
        <v>344</v>
      </c>
      <c r="J85" s="31" t="s">
        <v>25</v>
      </c>
      <c r="K85" s="31" t="s">
        <v>26</v>
      </c>
      <c r="L85" s="17">
        <v>5</v>
      </c>
      <c r="M85" s="33">
        <f>H85*10000*0.25</f>
      </c>
      <c r="N85" s="33">
        <f>M85*L85</f>
      </c>
      <c r="O85" s="33">
        <f>M85*L85</f>
      </c>
      <c r="P85" s="33">
        <v>0</v>
      </c>
      <c r="Q85" s="33">
        <f>P85/70</f>
      </c>
      <c r="R85" s="33">
        <f>Q85*4</f>
      </c>
      <c r="S85" s="13"/>
      <c r="T85" s="13"/>
      <c r="U85" s="13"/>
      <c r="V85" s="13"/>
      <c r="W85" s="13"/>
    </row>
    <row x14ac:dyDescent="0.25" r="86" customHeight="1" ht="18.75" customFormat="1" s="1">
      <c r="A86" s="30">
        <v>19</v>
      </c>
      <c r="B86" s="31" t="s">
        <v>278</v>
      </c>
      <c r="C86" s="31" t="s">
        <v>345</v>
      </c>
      <c r="D86" s="31" t="s">
        <v>342</v>
      </c>
      <c r="E86" s="31" t="s">
        <v>332</v>
      </c>
      <c r="F86" s="31" t="s">
        <v>346</v>
      </c>
      <c r="G86" s="31" t="s">
        <v>30</v>
      </c>
      <c r="H86" s="32">
        <v>3.4</v>
      </c>
      <c r="I86" s="31" t="s">
        <v>347</v>
      </c>
      <c r="J86" s="31" t="s">
        <v>25</v>
      </c>
      <c r="K86" s="31" t="s">
        <v>59</v>
      </c>
      <c r="L86" s="17">
        <v>5</v>
      </c>
      <c r="M86" s="33">
        <f>H86*10000*0.25</f>
      </c>
      <c r="N86" s="33">
        <f>M86*L86</f>
      </c>
      <c r="O86" s="33">
        <f>M86*L86</f>
      </c>
      <c r="P86" s="33">
        <v>0</v>
      </c>
      <c r="Q86" s="33">
        <f>P86/70</f>
      </c>
      <c r="R86" s="33">
        <f>Q86*4</f>
      </c>
      <c r="S86" s="13"/>
      <c r="T86" s="13"/>
      <c r="U86" s="13"/>
      <c r="V86" s="13"/>
      <c r="W86" s="13"/>
    </row>
    <row x14ac:dyDescent="0.25" r="87" customHeight="1" ht="18.75" customFormat="1" s="1">
      <c r="A87" s="30">
        <v>20</v>
      </c>
      <c r="B87" s="31" t="s">
        <v>278</v>
      </c>
      <c r="C87" s="31" t="s">
        <v>320</v>
      </c>
      <c r="D87" s="31" t="s">
        <v>342</v>
      </c>
      <c r="E87" s="31" t="s">
        <v>332</v>
      </c>
      <c r="F87" s="31" t="s">
        <v>348</v>
      </c>
      <c r="G87" s="31" t="s">
        <v>147</v>
      </c>
      <c r="H87" s="30">
        <v>2</v>
      </c>
      <c r="I87" s="31" t="s">
        <v>349</v>
      </c>
      <c r="J87" s="31" t="s">
        <v>25</v>
      </c>
      <c r="K87" s="31" t="s">
        <v>48</v>
      </c>
      <c r="L87" s="17">
        <v>5</v>
      </c>
      <c r="M87" s="33">
        <f>H87*10000*0.25</f>
      </c>
      <c r="N87" s="33">
        <f>M87*L87</f>
      </c>
      <c r="O87" s="33">
        <f>M87*L87</f>
      </c>
      <c r="P87" s="33">
        <v>0</v>
      </c>
      <c r="Q87" s="33">
        <f>P87/70</f>
      </c>
      <c r="R87" s="33">
        <f>Q87*4</f>
      </c>
      <c r="S87" s="13"/>
      <c r="T87" s="13"/>
      <c r="U87" s="13"/>
      <c r="V87" s="13"/>
      <c r="W87" s="13"/>
    </row>
    <row x14ac:dyDescent="0.25" r="88" customHeight="1" ht="18.75" customFormat="1" s="1">
      <c r="A88" s="30">
        <v>21</v>
      </c>
      <c r="B88" s="31" t="s">
        <v>278</v>
      </c>
      <c r="C88" s="31" t="s">
        <v>350</v>
      </c>
      <c r="D88" s="31" t="s">
        <v>342</v>
      </c>
      <c r="E88" s="31" t="s">
        <v>351</v>
      </c>
      <c r="F88" s="31" t="s">
        <v>352</v>
      </c>
      <c r="G88" s="31" t="s">
        <v>353</v>
      </c>
      <c r="H88" s="32">
        <v>0.3</v>
      </c>
      <c r="I88" s="31" t="s">
        <v>354</v>
      </c>
      <c r="J88" s="31" t="s">
        <v>335</v>
      </c>
      <c r="K88" s="31" t="s">
        <v>48</v>
      </c>
      <c r="L88" s="17">
        <v>2</v>
      </c>
      <c r="M88" s="33">
        <f>H88*10000*0.25</f>
      </c>
      <c r="N88" s="33">
        <f>M88*L88</f>
      </c>
      <c r="O88" s="33">
        <f>M88*L88</f>
      </c>
      <c r="P88" s="33">
        <v>0</v>
      </c>
      <c r="Q88" s="33">
        <f>P88/70</f>
      </c>
      <c r="R88" s="33">
        <f>Q88*4</f>
      </c>
      <c r="S88" s="13"/>
      <c r="T88" s="13"/>
      <c r="U88" s="13"/>
      <c r="V88" s="13"/>
      <c r="W88" s="13"/>
    </row>
    <row x14ac:dyDescent="0.25" r="89" customHeight="1" ht="18.75" customFormat="1" s="1">
      <c r="A89" s="30">
        <v>22</v>
      </c>
      <c r="B89" s="31" t="s">
        <v>278</v>
      </c>
      <c r="C89" s="31" t="s">
        <v>355</v>
      </c>
      <c r="D89" s="31" t="s">
        <v>342</v>
      </c>
      <c r="E89" s="31" t="s">
        <v>311</v>
      </c>
      <c r="F89" s="31" t="s">
        <v>356</v>
      </c>
      <c r="G89" s="31" t="s">
        <v>30</v>
      </c>
      <c r="H89" s="30">
        <v>64</v>
      </c>
      <c r="I89" s="31" t="s">
        <v>357</v>
      </c>
      <c r="J89" s="31" t="s">
        <v>25</v>
      </c>
      <c r="K89" s="31" t="s">
        <v>48</v>
      </c>
      <c r="L89" s="17">
        <v>10</v>
      </c>
      <c r="M89" s="33">
        <f>H89*10000*0.25</f>
      </c>
      <c r="N89" s="33">
        <f>M89*L89</f>
      </c>
      <c r="O89" s="33">
        <f>M89*L89</f>
      </c>
      <c r="P89" s="33">
        <v>0</v>
      </c>
      <c r="Q89" s="33">
        <f>P89/70</f>
      </c>
      <c r="R89" s="33">
        <f>Q89*4</f>
      </c>
      <c r="S89" s="13"/>
      <c r="T89" s="13"/>
      <c r="U89" s="13"/>
      <c r="V89" s="13"/>
      <c r="W89" s="13"/>
    </row>
    <row x14ac:dyDescent="0.25" r="90" customHeight="1" ht="18.75" customFormat="1" s="1">
      <c r="A90" s="30">
        <v>23</v>
      </c>
      <c r="B90" s="31" t="s">
        <v>278</v>
      </c>
      <c r="C90" s="31" t="s">
        <v>358</v>
      </c>
      <c r="D90" s="31" t="s">
        <v>342</v>
      </c>
      <c r="E90" s="31" t="s">
        <v>332</v>
      </c>
      <c r="F90" s="31" t="s">
        <v>359</v>
      </c>
      <c r="G90" s="31" t="s">
        <v>353</v>
      </c>
      <c r="H90" s="30">
        <v>110</v>
      </c>
      <c r="I90" s="31" t="s">
        <v>360</v>
      </c>
      <c r="J90" s="31" t="s">
        <v>25</v>
      </c>
      <c r="K90" s="31" t="s">
        <v>48</v>
      </c>
      <c r="L90" s="17">
        <v>5</v>
      </c>
      <c r="M90" s="33">
        <f>H90*10000*0.25</f>
      </c>
      <c r="N90" s="33">
        <f>M90*L90</f>
      </c>
      <c r="O90" s="33">
        <f>M90*L90</f>
      </c>
      <c r="P90" s="33">
        <v>0</v>
      </c>
      <c r="Q90" s="33">
        <f>P90/70</f>
      </c>
      <c r="R90" s="33">
        <f>Q90*4</f>
      </c>
      <c r="S90" s="13"/>
      <c r="T90" s="13"/>
      <c r="U90" s="13"/>
      <c r="V90" s="13"/>
      <c r="W90" s="13"/>
    </row>
    <row x14ac:dyDescent="0.25" r="91" customHeight="1" ht="18.75" customFormat="1" s="1">
      <c r="A91" s="30">
        <v>24</v>
      </c>
      <c r="B91" s="31" t="s">
        <v>278</v>
      </c>
      <c r="C91" s="31" t="s">
        <v>361</v>
      </c>
      <c r="D91" s="31" t="s">
        <v>362</v>
      </c>
      <c r="E91" s="31" t="s">
        <v>363</v>
      </c>
      <c r="F91" s="31" t="s">
        <v>364</v>
      </c>
      <c r="G91" s="31" t="s">
        <v>23</v>
      </c>
      <c r="H91" s="32">
        <v>4.4</v>
      </c>
      <c r="I91" s="36" t="s">
        <v>365</v>
      </c>
      <c r="J91" s="31" t="s">
        <v>32</v>
      </c>
      <c r="K91" s="31" t="s">
        <v>48</v>
      </c>
      <c r="L91" s="17">
        <v>10</v>
      </c>
      <c r="M91" s="33">
        <f>H91*10000*0.25</f>
      </c>
      <c r="N91" s="33">
        <f>M91*L91</f>
      </c>
      <c r="O91" s="33">
        <f>M91*2</f>
      </c>
      <c r="P91" s="33">
        <f>M91*8*0.8</f>
      </c>
      <c r="Q91" s="33">
        <f>P91/70</f>
      </c>
      <c r="R91" s="33">
        <f>Q91*4</f>
      </c>
      <c r="S91" s="13"/>
      <c r="T91" s="13"/>
      <c r="U91" s="13"/>
      <c r="V91" s="13"/>
      <c r="W91" s="13"/>
    </row>
    <row x14ac:dyDescent="0.25" r="92" customHeight="1" ht="18.75" customFormat="1" s="1">
      <c r="A92" s="30">
        <v>25</v>
      </c>
      <c r="B92" s="31" t="s">
        <v>278</v>
      </c>
      <c r="C92" s="31" t="s">
        <v>366</v>
      </c>
      <c r="D92" s="31" t="s">
        <v>332</v>
      </c>
      <c r="E92" s="31" t="s">
        <v>367</v>
      </c>
      <c r="F92" s="31" t="s">
        <v>368</v>
      </c>
      <c r="G92" s="31" t="s">
        <v>30</v>
      </c>
      <c r="H92" s="30">
        <v>11</v>
      </c>
      <c r="I92" s="31" t="s">
        <v>369</v>
      </c>
      <c r="J92" s="31" t="s">
        <v>25</v>
      </c>
      <c r="K92" s="31" t="s">
        <v>48</v>
      </c>
      <c r="L92" s="17">
        <v>13</v>
      </c>
      <c r="M92" s="33">
        <f>H92*10000*0.25</f>
      </c>
      <c r="N92" s="33">
        <f>M92*L92</f>
      </c>
      <c r="O92" s="33">
        <f>M92*3</f>
      </c>
      <c r="P92" s="33">
        <f>M92*10*0.8</f>
      </c>
      <c r="Q92" s="33">
        <f>P92/70</f>
      </c>
      <c r="R92" s="33">
        <f>Q92*4</f>
      </c>
      <c r="S92" s="13"/>
      <c r="T92" s="13"/>
      <c r="U92" s="13"/>
      <c r="V92" s="13"/>
      <c r="W92" s="13"/>
    </row>
    <row x14ac:dyDescent="0.25" r="93" customHeight="1" ht="18.75" customFormat="1" s="1">
      <c r="A93" s="30">
        <v>26</v>
      </c>
      <c r="B93" s="31" t="s">
        <v>278</v>
      </c>
      <c r="C93" s="31" t="s">
        <v>370</v>
      </c>
      <c r="D93" s="31" t="s">
        <v>371</v>
      </c>
      <c r="E93" s="31" t="s">
        <v>372</v>
      </c>
      <c r="F93" s="31" t="s">
        <v>373</v>
      </c>
      <c r="G93" s="31" t="s">
        <v>353</v>
      </c>
      <c r="H93" s="30">
        <v>678</v>
      </c>
      <c r="I93" s="31" t="s">
        <v>374</v>
      </c>
      <c r="J93" s="31" t="s">
        <v>25</v>
      </c>
      <c r="K93" s="31" t="s">
        <v>48</v>
      </c>
      <c r="L93" s="17">
        <v>5</v>
      </c>
      <c r="M93" s="33">
        <f>H93*10000*0.25</f>
      </c>
      <c r="N93" s="33">
        <f>M93*L93</f>
      </c>
      <c r="O93" s="33">
        <f>M93*L93</f>
      </c>
      <c r="P93" s="33">
        <v>0</v>
      </c>
      <c r="Q93" s="33">
        <f>P93/70</f>
      </c>
      <c r="R93" s="33">
        <f>Q93*4</f>
      </c>
      <c r="S93" s="13"/>
      <c r="T93" s="13"/>
      <c r="U93" s="13"/>
      <c r="V93" s="13"/>
      <c r="W93" s="13"/>
    </row>
    <row x14ac:dyDescent="0.25" r="94" customHeight="1" ht="49.5" customFormat="1" s="1">
      <c r="A94" s="17" t="s">
        <v>375</v>
      </c>
      <c r="B94" s="37" t="s">
        <v>278</v>
      </c>
      <c r="C94" s="37" t="s">
        <v>376</v>
      </c>
      <c r="D94" s="37" t="s">
        <v>342</v>
      </c>
      <c r="E94" s="37" t="s">
        <v>377</v>
      </c>
      <c r="F94" s="37" t="s">
        <v>378</v>
      </c>
      <c r="G94" s="37" t="s">
        <v>23</v>
      </c>
      <c r="H94" s="38">
        <v>6.6</v>
      </c>
      <c r="I94" s="39" t="s">
        <v>379</v>
      </c>
      <c r="J94" s="37" t="s">
        <v>25</v>
      </c>
      <c r="K94" s="37" t="s">
        <v>380</v>
      </c>
      <c r="L94" s="17">
        <v>10</v>
      </c>
      <c r="M94" s="23">
        <f>H94*10000*0.25</f>
      </c>
      <c r="N94" s="23">
        <f>M94*L94</f>
      </c>
      <c r="O94" s="23">
        <f>M94*2</f>
      </c>
      <c r="P94" s="23">
        <f>M94*8*0.8</f>
      </c>
      <c r="Q94" s="23">
        <f>P94/70</f>
      </c>
      <c r="R94" s="23">
        <f>Q94*4</f>
      </c>
      <c r="S94" s="13"/>
      <c r="T94" s="13"/>
      <c r="U94" s="13"/>
      <c r="V94" s="13"/>
      <c r="W94" s="13"/>
    </row>
    <row x14ac:dyDescent="0.25" r="95" customHeight="1" ht="32.5">
      <c r="A95" s="40">
        <v>1</v>
      </c>
      <c r="B95" s="41" t="s">
        <v>381</v>
      </c>
      <c r="C95" s="41" t="s">
        <v>382</v>
      </c>
      <c r="D95" s="41" t="s">
        <v>383</v>
      </c>
      <c r="E95" s="41" t="s">
        <v>384</v>
      </c>
      <c r="F95" s="41" t="s">
        <v>385</v>
      </c>
      <c r="G95" s="41" t="s">
        <v>30</v>
      </c>
      <c r="H95" s="42">
        <v>0.01</v>
      </c>
      <c r="I95" s="41" t="s">
        <v>386</v>
      </c>
      <c r="J95" s="41" t="s">
        <v>32</v>
      </c>
      <c r="K95" s="41" t="s">
        <v>26</v>
      </c>
      <c r="L95" s="43">
        <v>2</v>
      </c>
      <c r="M95" s="44">
        <f>H95*10000*0.25</f>
      </c>
      <c r="N95" s="44">
        <f>M95*2</f>
      </c>
      <c r="O95" s="44">
        <f>M95*L95</f>
      </c>
      <c r="P95" s="44">
        <v>0</v>
      </c>
      <c r="Q95" s="44">
        <f>P95/70</f>
      </c>
      <c r="R95" s="44">
        <f>Q95*4</f>
      </c>
      <c r="S95" s="13"/>
      <c r="T95" s="13"/>
      <c r="U95" s="13"/>
      <c r="V95" s="18"/>
      <c r="W95" s="13"/>
    </row>
    <row x14ac:dyDescent="0.25" r="96" customHeight="1" ht="32.5" customFormat="1" s="1">
      <c r="A96" s="40">
        <v>2</v>
      </c>
      <c r="B96" s="41" t="s">
        <v>381</v>
      </c>
      <c r="C96" s="41" t="s">
        <v>387</v>
      </c>
      <c r="D96" s="41" t="s">
        <v>383</v>
      </c>
      <c r="E96" s="41" t="s">
        <v>388</v>
      </c>
      <c r="F96" s="41" t="s">
        <v>389</v>
      </c>
      <c r="G96" s="41" t="s">
        <v>23</v>
      </c>
      <c r="H96" s="42">
        <v>0.18</v>
      </c>
      <c r="I96" s="41" t="s">
        <v>390</v>
      </c>
      <c r="J96" s="41" t="s">
        <v>32</v>
      </c>
      <c r="K96" s="41" t="s">
        <v>26</v>
      </c>
      <c r="L96" s="27">
        <v>13</v>
      </c>
      <c r="M96" s="44">
        <f>H96*10000*0.25</f>
      </c>
      <c r="N96" s="44">
        <f>M96*13</f>
      </c>
      <c r="O96" s="44">
        <f>M96*3</f>
      </c>
      <c r="P96" s="44">
        <f>M96*10*0.8</f>
      </c>
      <c r="Q96" s="44">
        <f>P96/70</f>
      </c>
      <c r="R96" s="44">
        <f>Q96*4</f>
      </c>
      <c r="S96" s="13"/>
      <c r="T96" s="13"/>
      <c r="U96" s="13"/>
      <c r="V96" s="13"/>
      <c r="W96" s="13"/>
    </row>
    <row x14ac:dyDescent="0.25" r="97" customHeight="1" ht="32.5">
      <c r="A97" s="40">
        <v>3</v>
      </c>
      <c r="B97" s="41" t="s">
        <v>381</v>
      </c>
      <c r="C97" s="41" t="s">
        <v>391</v>
      </c>
      <c r="D97" s="41" t="s">
        <v>383</v>
      </c>
      <c r="E97" s="41" t="s">
        <v>392</v>
      </c>
      <c r="F97" s="41" t="s">
        <v>385</v>
      </c>
      <c r="G97" s="41" t="s">
        <v>30</v>
      </c>
      <c r="H97" s="42">
        <v>0.1</v>
      </c>
      <c r="I97" s="41" t="s">
        <v>393</v>
      </c>
      <c r="J97" s="41" t="s">
        <v>32</v>
      </c>
      <c r="K97" s="41" t="s">
        <v>26</v>
      </c>
      <c r="L97" s="43">
        <v>2</v>
      </c>
      <c r="M97" s="44">
        <f>H97*10000*0.25</f>
      </c>
      <c r="N97" s="44">
        <f>M97*2</f>
      </c>
      <c r="O97" s="44">
        <f>M97*L97</f>
      </c>
      <c r="P97" s="44">
        <v>0</v>
      </c>
      <c r="Q97" s="44">
        <f>P97/70</f>
      </c>
      <c r="R97" s="44">
        <f>Q97*4</f>
      </c>
      <c r="S97" s="13"/>
      <c r="T97" s="13"/>
      <c r="U97" s="13"/>
      <c r="V97" s="18"/>
      <c r="W97" s="13"/>
    </row>
    <row x14ac:dyDescent="0.25" r="98" customHeight="1" ht="32.5">
      <c r="A98" s="40">
        <v>4</v>
      </c>
      <c r="B98" s="41" t="s">
        <v>381</v>
      </c>
      <c r="C98" s="41" t="s">
        <v>394</v>
      </c>
      <c r="D98" s="41" t="s">
        <v>383</v>
      </c>
      <c r="E98" s="41" t="s">
        <v>395</v>
      </c>
      <c r="F98" s="41" t="s">
        <v>385</v>
      </c>
      <c r="G98" s="41" t="s">
        <v>30</v>
      </c>
      <c r="H98" s="42">
        <v>0.1</v>
      </c>
      <c r="I98" s="41" t="s">
        <v>396</v>
      </c>
      <c r="J98" s="41" t="s">
        <v>32</v>
      </c>
      <c r="K98" s="41" t="s">
        <v>26</v>
      </c>
      <c r="L98" s="43">
        <v>2</v>
      </c>
      <c r="M98" s="44">
        <f>H98*10000*0.25</f>
      </c>
      <c r="N98" s="44">
        <f>M98*2</f>
      </c>
      <c r="O98" s="44">
        <f>M98*L98</f>
      </c>
      <c r="P98" s="44">
        <v>0</v>
      </c>
      <c r="Q98" s="44">
        <f>P98/70</f>
      </c>
      <c r="R98" s="44">
        <f>Q98*4</f>
      </c>
      <c r="S98" s="13"/>
      <c r="T98" s="13"/>
      <c r="U98" s="13"/>
      <c r="V98" s="18"/>
      <c r="W98" s="13"/>
    </row>
    <row x14ac:dyDescent="0.25" r="99" customHeight="1" ht="32.5">
      <c r="A99" s="40">
        <v>5</v>
      </c>
      <c r="B99" s="41" t="s">
        <v>381</v>
      </c>
      <c r="C99" s="41" t="s">
        <v>397</v>
      </c>
      <c r="D99" s="41" t="s">
        <v>383</v>
      </c>
      <c r="E99" s="41" t="s">
        <v>398</v>
      </c>
      <c r="F99" s="41" t="s">
        <v>385</v>
      </c>
      <c r="G99" s="41" t="s">
        <v>30</v>
      </c>
      <c r="H99" s="42">
        <v>0.01</v>
      </c>
      <c r="I99" s="41" t="s">
        <v>399</v>
      </c>
      <c r="J99" s="41" t="s">
        <v>32</v>
      </c>
      <c r="K99" s="41" t="s">
        <v>26</v>
      </c>
      <c r="L99" s="43">
        <v>2</v>
      </c>
      <c r="M99" s="44">
        <f>H99*10000*0.25</f>
      </c>
      <c r="N99" s="44">
        <f>M99*2</f>
      </c>
      <c r="O99" s="44">
        <f>M99*L99</f>
      </c>
      <c r="P99" s="44">
        <v>0</v>
      </c>
      <c r="Q99" s="44">
        <f>P99/70</f>
      </c>
      <c r="R99" s="44">
        <f>Q99*4</f>
      </c>
      <c r="S99" s="13"/>
      <c r="T99" s="13"/>
      <c r="U99" s="13"/>
      <c r="V99" s="18"/>
      <c r="W99" s="13"/>
    </row>
    <row x14ac:dyDescent="0.25" r="100" customHeight="1" ht="32.5">
      <c r="A100" s="40">
        <v>6</v>
      </c>
      <c r="B100" s="41" t="s">
        <v>381</v>
      </c>
      <c r="C100" s="41" t="s">
        <v>400</v>
      </c>
      <c r="D100" s="41" t="s">
        <v>383</v>
      </c>
      <c r="E100" s="41" t="s">
        <v>401</v>
      </c>
      <c r="F100" s="41" t="s">
        <v>385</v>
      </c>
      <c r="G100" s="41" t="s">
        <v>30</v>
      </c>
      <c r="H100" s="42">
        <v>0.01</v>
      </c>
      <c r="I100" s="41" t="s">
        <v>402</v>
      </c>
      <c r="J100" s="41" t="s">
        <v>25</v>
      </c>
      <c r="K100" s="41" t="s">
        <v>26</v>
      </c>
      <c r="L100" s="43">
        <v>2</v>
      </c>
      <c r="M100" s="44">
        <f>H100*10000*0.25</f>
      </c>
      <c r="N100" s="44">
        <f>M100*2</f>
      </c>
      <c r="O100" s="44">
        <f>M100*L100</f>
      </c>
      <c r="P100" s="44">
        <v>0</v>
      </c>
      <c r="Q100" s="44">
        <f>P100/70</f>
      </c>
      <c r="R100" s="44">
        <f>Q100*4</f>
      </c>
      <c r="S100" s="13"/>
      <c r="T100" s="13"/>
      <c r="U100" s="13"/>
      <c r="V100" s="18"/>
      <c r="W100" s="13"/>
    </row>
    <row x14ac:dyDescent="0.25" r="101" customHeight="1" ht="32.5" customFormat="1" s="1">
      <c r="A101" s="40">
        <v>7</v>
      </c>
      <c r="B101" s="41" t="s">
        <v>381</v>
      </c>
      <c r="C101" s="41" t="s">
        <v>403</v>
      </c>
      <c r="D101" s="41" t="s">
        <v>404</v>
      </c>
      <c r="E101" s="41" t="s">
        <v>405</v>
      </c>
      <c r="F101" s="41" t="s">
        <v>406</v>
      </c>
      <c r="G101" s="41" t="s">
        <v>23</v>
      </c>
      <c r="H101" s="42">
        <v>0.59</v>
      </c>
      <c r="I101" s="41" t="s">
        <v>407</v>
      </c>
      <c r="J101" s="41" t="s">
        <v>25</v>
      </c>
      <c r="K101" s="41" t="s">
        <v>48</v>
      </c>
      <c r="L101" s="17">
        <v>20</v>
      </c>
      <c r="M101" s="44">
        <f>H101*10000*0.25</f>
      </c>
      <c r="N101" s="44">
        <f>M101*L101</f>
      </c>
      <c r="O101" s="44">
        <f>M101*10</f>
      </c>
      <c r="P101" s="44">
        <f>M101*15*0.8</f>
      </c>
      <c r="Q101" s="44">
        <f>P101/70</f>
      </c>
      <c r="R101" s="44">
        <f>Q101*4</f>
      </c>
      <c r="S101" s="13"/>
      <c r="T101" s="13"/>
      <c r="U101" s="13"/>
      <c r="V101" s="13"/>
      <c r="W101" s="13"/>
    </row>
    <row x14ac:dyDescent="0.25" r="102" customHeight="1" ht="32.5" customFormat="1" s="1">
      <c r="A102" s="40">
        <v>8</v>
      </c>
      <c r="B102" s="41" t="s">
        <v>381</v>
      </c>
      <c r="C102" s="41" t="s">
        <v>403</v>
      </c>
      <c r="D102" s="41" t="s">
        <v>404</v>
      </c>
      <c r="E102" s="41" t="s">
        <v>408</v>
      </c>
      <c r="F102" s="41" t="s">
        <v>406</v>
      </c>
      <c r="G102" s="41" t="s">
        <v>23</v>
      </c>
      <c r="H102" s="40">
        <v>2</v>
      </c>
      <c r="I102" s="41" t="s">
        <v>409</v>
      </c>
      <c r="J102" s="41" t="s">
        <v>32</v>
      </c>
      <c r="K102" s="41" t="s">
        <v>48</v>
      </c>
      <c r="L102" s="17">
        <v>20</v>
      </c>
      <c r="M102" s="44">
        <f>H102*10000*0.25</f>
      </c>
      <c r="N102" s="44">
        <f>M102*L102</f>
      </c>
      <c r="O102" s="44">
        <f>M102*10</f>
      </c>
      <c r="P102" s="44">
        <f>M102*15*0.8</f>
      </c>
      <c r="Q102" s="44">
        <f>P102/70</f>
      </c>
      <c r="R102" s="44">
        <f>Q102*4</f>
      </c>
      <c r="S102" s="13"/>
      <c r="T102" s="13"/>
      <c r="U102" s="13"/>
      <c r="V102" s="13"/>
      <c r="W102" s="13"/>
    </row>
    <row x14ac:dyDescent="0.25" r="103" customHeight="1" ht="32.5" customFormat="1" s="1">
      <c r="A103" s="40">
        <v>9</v>
      </c>
      <c r="B103" s="41" t="s">
        <v>381</v>
      </c>
      <c r="C103" s="41" t="s">
        <v>403</v>
      </c>
      <c r="D103" s="41" t="s">
        <v>404</v>
      </c>
      <c r="E103" s="41" t="s">
        <v>410</v>
      </c>
      <c r="F103" s="41" t="s">
        <v>411</v>
      </c>
      <c r="G103" s="41" t="s">
        <v>23</v>
      </c>
      <c r="H103" s="40">
        <v>4</v>
      </c>
      <c r="I103" s="41" t="s">
        <v>412</v>
      </c>
      <c r="J103" s="41" t="s">
        <v>25</v>
      </c>
      <c r="K103" s="41" t="s">
        <v>48</v>
      </c>
      <c r="L103" s="17">
        <v>18</v>
      </c>
      <c r="M103" s="44">
        <f>H103*10000*0.25</f>
      </c>
      <c r="N103" s="44">
        <f>M103*L103</f>
      </c>
      <c r="O103" s="44">
        <f>M103*6</f>
      </c>
      <c r="P103" s="44">
        <f>M103*12*0.8</f>
      </c>
      <c r="Q103" s="44">
        <f>P103/70</f>
      </c>
      <c r="R103" s="44">
        <f>Q103*4</f>
      </c>
      <c r="S103" s="13"/>
      <c r="T103" s="13"/>
      <c r="U103" s="13"/>
      <c r="V103" s="13"/>
      <c r="W103" s="13"/>
    </row>
    <row x14ac:dyDescent="0.25" r="104" customHeight="1" ht="32.5" customFormat="1" s="1">
      <c r="A104" s="40">
        <v>10</v>
      </c>
      <c r="B104" s="41" t="s">
        <v>381</v>
      </c>
      <c r="C104" s="41" t="s">
        <v>413</v>
      </c>
      <c r="D104" s="41" t="s">
        <v>404</v>
      </c>
      <c r="E104" s="41" t="s">
        <v>414</v>
      </c>
      <c r="F104" s="41" t="s">
        <v>415</v>
      </c>
      <c r="G104" s="41" t="s">
        <v>23</v>
      </c>
      <c r="H104" s="42">
        <v>0.5</v>
      </c>
      <c r="I104" s="41" t="s">
        <v>416</v>
      </c>
      <c r="J104" s="41" t="s">
        <v>25</v>
      </c>
      <c r="K104" s="41" t="s">
        <v>48</v>
      </c>
      <c r="L104" s="17">
        <v>20</v>
      </c>
      <c r="M104" s="44">
        <f>H104*10000*0.25</f>
      </c>
      <c r="N104" s="44">
        <f>M104*L104</f>
      </c>
      <c r="O104" s="44">
        <f>M104*2</f>
      </c>
      <c r="P104" s="44">
        <f>M104*10*0.8</f>
      </c>
      <c r="Q104" s="44">
        <f>P104/70</f>
      </c>
      <c r="R104" s="44">
        <f>Q104*4</f>
      </c>
      <c r="S104" s="13"/>
      <c r="T104" s="13"/>
      <c r="U104" s="13"/>
      <c r="V104" s="13"/>
      <c r="W104" s="13"/>
    </row>
    <row x14ac:dyDescent="0.25" r="105" customHeight="1" ht="32.5" customFormat="1" s="1">
      <c r="A105" s="40">
        <v>11</v>
      </c>
      <c r="B105" s="41" t="s">
        <v>381</v>
      </c>
      <c r="C105" s="41" t="s">
        <v>403</v>
      </c>
      <c r="D105" s="41" t="s">
        <v>404</v>
      </c>
      <c r="E105" s="41" t="s">
        <v>417</v>
      </c>
      <c r="F105" s="41" t="s">
        <v>411</v>
      </c>
      <c r="G105" s="41" t="s">
        <v>23</v>
      </c>
      <c r="H105" s="42">
        <v>0.4</v>
      </c>
      <c r="I105" s="41" t="s">
        <v>418</v>
      </c>
      <c r="J105" s="41" t="s">
        <v>25</v>
      </c>
      <c r="K105" s="41" t="s">
        <v>48</v>
      </c>
      <c r="L105" s="17">
        <v>20</v>
      </c>
      <c r="M105" s="44">
        <f>H105*10000*0.25</f>
      </c>
      <c r="N105" s="44">
        <f>M105*L105</f>
      </c>
      <c r="O105" s="44">
        <f>M105*10</f>
      </c>
      <c r="P105" s="44">
        <f>M105*15*0.8</f>
      </c>
      <c r="Q105" s="44">
        <f>P105/70</f>
      </c>
      <c r="R105" s="44">
        <f>Q105*4</f>
      </c>
      <c r="S105" s="13"/>
      <c r="T105" s="13"/>
      <c r="U105" s="13"/>
      <c r="V105" s="13"/>
      <c r="W105" s="13"/>
    </row>
    <row x14ac:dyDescent="0.25" r="106" customHeight="1" ht="32.5" customFormat="1" s="1">
      <c r="A106" s="40">
        <v>12</v>
      </c>
      <c r="B106" s="41" t="s">
        <v>381</v>
      </c>
      <c r="C106" s="41" t="s">
        <v>419</v>
      </c>
      <c r="D106" s="41" t="s">
        <v>383</v>
      </c>
      <c r="E106" s="41" t="s">
        <v>420</v>
      </c>
      <c r="F106" s="41" t="s">
        <v>421</v>
      </c>
      <c r="G106" s="41" t="s">
        <v>23</v>
      </c>
      <c r="H106" s="42">
        <v>6.3</v>
      </c>
      <c r="I106" s="41" t="s">
        <v>422</v>
      </c>
      <c r="J106" s="41" t="s">
        <v>25</v>
      </c>
      <c r="K106" s="41" t="s">
        <v>59</v>
      </c>
      <c r="L106" s="17">
        <v>12</v>
      </c>
      <c r="M106" s="44">
        <f>H106*10000*0.25</f>
      </c>
      <c r="N106" s="44">
        <f>M106*L106</f>
      </c>
      <c r="O106" s="44">
        <f>M106*3</f>
      </c>
      <c r="P106" s="44">
        <f>M106*10*0.8</f>
      </c>
      <c r="Q106" s="44">
        <f>P106/70</f>
      </c>
      <c r="R106" s="44">
        <f>Q106*4</f>
      </c>
      <c r="S106" s="13"/>
      <c r="T106" s="13"/>
      <c r="U106" s="13"/>
      <c r="V106" s="13"/>
      <c r="W106" s="13"/>
    </row>
    <row x14ac:dyDescent="0.25" r="107" customHeight="1" ht="32.5">
      <c r="A107" s="40">
        <v>13</v>
      </c>
      <c r="B107" s="41" t="s">
        <v>381</v>
      </c>
      <c r="C107" s="41" t="s">
        <v>423</v>
      </c>
      <c r="D107" s="41" t="s">
        <v>424</v>
      </c>
      <c r="E107" s="41" t="s">
        <v>425</v>
      </c>
      <c r="F107" s="41" t="s">
        <v>426</v>
      </c>
      <c r="G107" s="41" t="s">
        <v>23</v>
      </c>
      <c r="H107" s="42">
        <v>2.9</v>
      </c>
      <c r="I107" s="41" t="s">
        <v>427</v>
      </c>
      <c r="J107" s="41" t="s">
        <v>25</v>
      </c>
      <c r="K107" s="41" t="s">
        <v>59</v>
      </c>
      <c r="L107" s="45">
        <v>12</v>
      </c>
      <c r="M107" s="44">
        <f>H107*10000*0.25</f>
      </c>
      <c r="N107" s="44">
        <f>M107*L107</f>
      </c>
      <c r="O107" s="44">
        <f>M107*3</f>
      </c>
      <c r="P107" s="44">
        <f>M107*10*0.8</f>
      </c>
      <c r="Q107" s="44">
        <f>P107/70</f>
      </c>
      <c r="R107" s="44">
        <f>Q107*4</f>
      </c>
      <c r="S107" s="13"/>
      <c r="T107" s="13"/>
      <c r="U107" s="13"/>
      <c r="V107" s="18"/>
      <c r="W107" s="13"/>
    </row>
    <row x14ac:dyDescent="0.25" r="108" customHeight="1" ht="32.5">
      <c r="A108" s="40">
        <v>14</v>
      </c>
      <c r="B108" s="41" t="s">
        <v>381</v>
      </c>
      <c r="C108" s="41" t="s">
        <v>428</v>
      </c>
      <c r="D108" s="41" t="s">
        <v>383</v>
      </c>
      <c r="E108" s="41" t="s">
        <v>429</v>
      </c>
      <c r="F108" s="41" t="s">
        <v>421</v>
      </c>
      <c r="G108" s="41" t="s">
        <v>23</v>
      </c>
      <c r="H108" s="42">
        <v>1.3</v>
      </c>
      <c r="I108" s="41" t="s">
        <v>430</v>
      </c>
      <c r="J108" s="41" t="s">
        <v>25</v>
      </c>
      <c r="K108" s="41" t="s">
        <v>59</v>
      </c>
      <c r="L108" s="45">
        <v>10</v>
      </c>
      <c r="M108" s="44">
        <f>H108*10000*0.25</f>
      </c>
      <c r="N108" s="44">
        <f>M108*L108</f>
      </c>
      <c r="O108" s="44">
        <f>M108*2</f>
      </c>
      <c r="P108" s="44">
        <f>M108*8*0.8</f>
      </c>
      <c r="Q108" s="44">
        <f>P108/70</f>
      </c>
      <c r="R108" s="44">
        <f>Q108*4</f>
      </c>
      <c r="S108" s="13"/>
      <c r="T108" s="13"/>
      <c r="U108" s="13"/>
      <c r="V108" s="18"/>
      <c r="W108" s="13"/>
    </row>
    <row x14ac:dyDescent="0.25" r="109" customHeight="1" ht="32.5">
      <c r="A109" s="40">
        <v>15</v>
      </c>
      <c r="B109" s="41" t="s">
        <v>381</v>
      </c>
      <c r="C109" s="41" t="s">
        <v>431</v>
      </c>
      <c r="D109" s="41" t="s">
        <v>432</v>
      </c>
      <c r="E109" s="41" t="s">
        <v>433</v>
      </c>
      <c r="F109" s="41" t="s">
        <v>434</v>
      </c>
      <c r="G109" s="41" t="s">
        <v>23</v>
      </c>
      <c r="H109" s="40">
        <v>18</v>
      </c>
      <c r="I109" s="41" t="s">
        <v>435</v>
      </c>
      <c r="J109" s="41" t="s">
        <v>25</v>
      </c>
      <c r="K109" s="41" t="s">
        <v>59</v>
      </c>
      <c r="L109" s="45">
        <v>10</v>
      </c>
      <c r="M109" s="44">
        <f>H109*10000*0.25</f>
      </c>
      <c r="N109" s="44">
        <f>M109*L109</f>
      </c>
      <c r="O109" s="44">
        <f>M109*1</f>
      </c>
      <c r="P109" s="44">
        <f>M109*6*0.8</f>
      </c>
      <c r="Q109" s="44">
        <f>P109/70</f>
      </c>
      <c r="R109" s="44">
        <f>Q109*4</f>
      </c>
      <c r="S109" s="13"/>
      <c r="T109" s="13"/>
      <c r="U109" s="13"/>
      <c r="V109" s="18"/>
      <c r="W109" s="13"/>
    </row>
    <row x14ac:dyDescent="0.25" r="110" customHeight="1" ht="32.5">
      <c r="A110" s="40">
        <v>16</v>
      </c>
      <c r="B110" s="41" t="s">
        <v>381</v>
      </c>
      <c r="C110" s="41" t="s">
        <v>436</v>
      </c>
      <c r="D110" s="41" t="s">
        <v>437</v>
      </c>
      <c r="E110" s="41" t="s">
        <v>438</v>
      </c>
      <c r="F110" s="41" t="s">
        <v>421</v>
      </c>
      <c r="G110" s="41" t="s">
        <v>23</v>
      </c>
      <c r="H110" s="40">
        <v>7</v>
      </c>
      <c r="I110" s="41" t="s">
        <v>439</v>
      </c>
      <c r="J110" s="41" t="s">
        <v>32</v>
      </c>
      <c r="K110" s="41" t="s">
        <v>48</v>
      </c>
      <c r="L110" s="45">
        <v>9</v>
      </c>
      <c r="M110" s="44">
        <f>H110*10000*0.25</f>
      </c>
      <c r="N110" s="44">
        <f>M110*L110</f>
      </c>
      <c r="O110" s="44">
        <f>M110*2</f>
      </c>
      <c r="P110" s="44">
        <f>M110*7*0.8</f>
      </c>
      <c r="Q110" s="44">
        <f>P110/70</f>
      </c>
      <c r="R110" s="44">
        <f>Q110*4</f>
      </c>
      <c r="S110" s="13"/>
      <c r="T110" s="13"/>
      <c r="U110" s="13"/>
      <c r="V110" s="18"/>
      <c r="W110" s="13"/>
    </row>
    <row x14ac:dyDescent="0.25" r="111" customHeight="1" ht="32.5">
      <c r="A111" s="40">
        <v>17</v>
      </c>
      <c r="B111" s="41" t="s">
        <v>381</v>
      </c>
      <c r="C111" s="41" t="s">
        <v>440</v>
      </c>
      <c r="D111" s="41" t="s">
        <v>441</v>
      </c>
      <c r="E111" s="41" t="s">
        <v>429</v>
      </c>
      <c r="F111" s="41" t="s">
        <v>385</v>
      </c>
      <c r="G111" s="41" t="s">
        <v>30</v>
      </c>
      <c r="H111" s="42">
        <v>0.26</v>
      </c>
      <c r="I111" s="41" t="s">
        <v>442</v>
      </c>
      <c r="J111" s="41" t="s">
        <v>32</v>
      </c>
      <c r="K111" s="41" t="s">
        <v>59</v>
      </c>
      <c r="L111" s="45">
        <v>12</v>
      </c>
      <c r="M111" s="44">
        <f>H111*10000*0.25</f>
      </c>
      <c r="N111" s="44">
        <f>M111*L111</f>
      </c>
      <c r="O111" s="44">
        <f>M111*2</f>
      </c>
      <c r="P111" s="44">
        <f>M111*8*0.8</f>
      </c>
      <c r="Q111" s="44">
        <f>P111/70</f>
      </c>
      <c r="R111" s="44">
        <f>Q111*4</f>
      </c>
      <c r="S111" s="13"/>
      <c r="T111" s="13"/>
      <c r="U111" s="13"/>
      <c r="V111" s="18"/>
      <c r="W111" s="13"/>
    </row>
    <row x14ac:dyDescent="0.25" r="112" customHeight="1" ht="32.5">
      <c r="A112" s="40">
        <v>18</v>
      </c>
      <c r="B112" s="41" t="s">
        <v>381</v>
      </c>
      <c r="C112" s="41" t="s">
        <v>443</v>
      </c>
      <c r="D112" s="41" t="s">
        <v>444</v>
      </c>
      <c r="E112" s="41" t="s">
        <v>445</v>
      </c>
      <c r="F112" s="41" t="s">
        <v>421</v>
      </c>
      <c r="G112" s="41" t="s">
        <v>23</v>
      </c>
      <c r="H112" s="42">
        <v>5.4</v>
      </c>
      <c r="I112" s="41" t="s">
        <v>446</v>
      </c>
      <c r="J112" s="41" t="s">
        <v>32</v>
      </c>
      <c r="K112" s="41" t="s">
        <v>59</v>
      </c>
      <c r="L112" s="45">
        <v>10</v>
      </c>
      <c r="M112" s="44">
        <f>H112*10000*0.25</f>
      </c>
      <c r="N112" s="44">
        <f>M112*L112</f>
      </c>
      <c r="O112" s="44">
        <f>M112*2</f>
      </c>
      <c r="P112" s="44">
        <f>M112*8*0.8</f>
      </c>
      <c r="Q112" s="44">
        <f>P112/70</f>
      </c>
      <c r="R112" s="44">
        <f>Q112*4</f>
      </c>
      <c r="S112" s="13"/>
      <c r="T112" s="13"/>
      <c r="U112" s="13"/>
      <c r="V112" s="18"/>
      <c r="W112" s="13"/>
    </row>
    <row x14ac:dyDescent="0.25" r="113" customHeight="1" ht="32.5">
      <c r="A113" s="40">
        <v>19</v>
      </c>
      <c r="B113" s="41" t="s">
        <v>381</v>
      </c>
      <c r="C113" s="41" t="s">
        <v>447</v>
      </c>
      <c r="D113" s="41" t="s">
        <v>448</v>
      </c>
      <c r="E113" s="41" t="s">
        <v>445</v>
      </c>
      <c r="F113" s="41" t="s">
        <v>411</v>
      </c>
      <c r="G113" s="41" t="s">
        <v>23</v>
      </c>
      <c r="H113" s="42">
        <v>4.5</v>
      </c>
      <c r="I113" s="41" t="s">
        <v>449</v>
      </c>
      <c r="J113" s="41" t="s">
        <v>25</v>
      </c>
      <c r="K113" s="41" t="s">
        <v>48</v>
      </c>
      <c r="L113" s="45">
        <v>10</v>
      </c>
      <c r="M113" s="44">
        <f>H113*10000*0.25</f>
      </c>
      <c r="N113" s="44">
        <f>M113*L113</f>
      </c>
      <c r="O113" s="44">
        <f>M113*2</f>
      </c>
      <c r="P113" s="44">
        <f>M113*8*0.8</f>
      </c>
      <c r="Q113" s="44">
        <f>P113/70</f>
      </c>
      <c r="R113" s="44">
        <f>Q113*4</f>
      </c>
      <c r="S113" s="13"/>
      <c r="T113" s="13"/>
      <c r="U113" s="13"/>
      <c r="V113" s="18"/>
      <c r="W113" s="13"/>
    </row>
    <row x14ac:dyDescent="0.25" r="114" customHeight="1" ht="32.5">
      <c r="A114" s="40">
        <v>20</v>
      </c>
      <c r="B114" s="41" t="s">
        <v>381</v>
      </c>
      <c r="C114" s="41" t="s">
        <v>419</v>
      </c>
      <c r="D114" s="41" t="s">
        <v>450</v>
      </c>
      <c r="E114" s="41" t="s">
        <v>451</v>
      </c>
      <c r="F114" s="41" t="s">
        <v>452</v>
      </c>
      <c r="G114" s="41" t="s">
        <v>104</v>
      </c>
      <c r="H114" s="42">
        <v>0.05</v>
      </c>
      <c r="I114" s="41" t="s">
        <v>453</v>
      </c>
      <c r="J114" s="41" t="s">
        <v>32</v>
      </c>
      <c r="K114" s="41" t="s">
        <v>59</v>
      </c>
      <c r="L114" s="45">
        <v>5</v>
      </c>
      <c r="M114" s="44">
        <f>H114*10000</f>
      </c>
      <c r="N114" s="44">
        <f>M114*5</f>
      </c>
      <c r="O114" s="44">
        <f>M114*5</f>
      </c>
      <c r="P114" s="44">
        <v>0</v>
      </c>
      <c r="Q114" s="44">
        <f>P114/70</f>
      </c>
      <c r="R114" s="44">
        <f>Q114*4</f>
      </c>
      <c r="S114" s="13"/>
      <c r="T114" s="13"/>
      <c r="U114" s="13"/>
      <c r="V114" s="18"/>
      <c r="W114" s="13"/>
    </row>
    <row x14ac:dyDescent="0.25" r="115" customHeight="1" ht="32.5">
      <c r="A115" s="40">
        <v>21</v>
      </c>
      <c r="B115" s="41" t="s">
        <v>381</v>
      </c>
      <c r="C115" s="41" t="s">
        <v>454</v>
      </c>
      <c r="D115" s="41" t="s">
        <v>450</v>
      </c>
      <c r="E115" s="41" t="s">
        <v>455</v>
      </c>
      <c r="F115" s="41" t="s">
        <v>456</v>
      </c>
      <c r="G115" s="41" t="s">
        <v>104</v>
      </c>
      <c r="H115" s="42">
        <v>0.05</v>
      </c>
      <c r="I115" s="41" t="s">
        <v>457</v>
      </c>
      <c r="J115" s="41" t="s">
        <v>32</v>
      </c>
      <c r="K115" s="41" t="s">
        <v>59</v>
      </c>
      <c r="L115" s="45">
        <v>5</v>
      </c>
      <c r="M115" s="44">
        <f>H115*10000</f>
      </c>
      <c r="N115" s="44">
        <f>M115*5</f>
      </c>
      <c r="O115" s="44">
        <f>M115*5</f>
      </c>
      <c r="P115" s="44">
        <v>0</v>
      </c>
      <c r="Q115" s="44">
        <f>P115/70</f>
      </c>
      <c r="R115" s="44">
        <f>Q115*4</f>
      </c>
      <c r="S115" s="13"/>
      <c r="T115" s="13"/>
      <c r="U115" s="13"/>
      <c r="V115" s="18"/>
      <c r="W115" s="13"/>
    </row>
    <row x14ac:dyDescent="0.25" r="116" customHeight="1" ht="32.5">
      <c r="A116" s="40">
        <v>22</v>
      </c>
      <c r="B116" s="41" t="s">
        <v>381</v>
      </c>
      <c r="C116" s="41" t="s">
        <v>458</v>
      </c>
      <c r="D116" s="41" t="s">
        <v>450</v>
      </c>
      <c r="E116" s="41" t="s">
        <v>459</v>
      </c>
      <c r="F116" s="41" t="s">
        <v>456</v>
      </c>
      <c r="G116" s="41" t="s">
        <v>104</v>
      </c>
      <c r="H116" s="42">
        <v>0.05</v>
      </c>
      <c r="I116" s="41" t="s">
        <v>460</v>
      </c>
      <c r="J116" s="41" t="s">
        <v>25</v>
      </c>
      <c r="K116" s="41" t="s">
        <v>59</v>
      </c>
      <c r="L116" s="45">
        <v>5</v>
      </c>
      <c r="M116" s="44">
        <f>H116*10000</f>
      </c>
      <c r="N116" s="44">
        <f>M116*5</f>
      </c>
      <c r="O116" s="44">
        <f>M116*5</f>
      </c>
      <c r="P116" s="44">
        <v>0</v>
      </c>
      <c r="Q116" s="44">
        <f>P116/70</f>
      </c>
      <c r="R116" s="44">
        <f>Q116*4</f>
      </c>
      <c r="S116" s="13"/>
      <c r="T116" s="13"/>
      <c r="U116" s="13"/>
      <c r="V116" s="18"/>
      <c r="W116" s="13"/>
    </row>
    <row x14ac:dyDescent="0.25" r="117" customHeight="1" ht="32.5">
      <c r="A117" s="40">
        <v>23</v>
      </c>
      <c r="B117" s="41" t="s">
        <v>381</v>
      </c>
      <c r="C117" s="41" t="s">
        <v>461</v>
      </c>
      <c r="D117" s="41" t="s">
        <v>462</v>
      </c>
      <c r="E117" s="41" t="s">
        <v>463</v>
      </c>
      <c r="F117" s="41" t="s">
        <v>456</v>
      </c>
      <c r="G117" s="41" t="s">
        <v>104</v>
      </c>
      <c r="H117" s="42">
        <v>0.05</v>
      </c>
      <c r="I117" s="41" t="s">
        <v>464</v>
      </c>
      <c r="J117" s="41" t="s">
        <v>25</v>
      </c>
      <c r="K117" s="41" t="s">
        <v>59</v>
      </c>
      <c r="L117" s="45">
        <v>5</v>
      </c>
      <c r="M117" s="44">
        <f>H117*10000</f>
      </c>
      <c r="N117" s="44">
        <f>M117*5</f>
      </c>
      <c r="O117" s="44">
        <f>M117*5</f>
      </c>
      <c r="P117" s="44">
        <v>0</v>
      </c>
      <c r="Q117" s="44">
        <f>P117/70</f>
      </c>
      <c r="R117" s="44">
        <f>Q117*4</f>
      </c>
      <c r="S117" s="13"/>
      <c r="T117" s="13"/>
      <c r="U117" s="13"/>
      <c r="V117" s="18"/>
      <c r="W117" s="13"/>
    </row>
    <row x14ac:dyDescent="0.25" r="118" customHeight="1" ht="32.5">
      <c r="A118" s="40">
        <v>24</v>
      </c>
      <c r="B118" s="41" t="s">
        <v>381</v>
      </c>
      <c r="C118" s="41" t="s">
        <v>458</v>
      </c>
      <c r="D118" s="41" t="s">
        <v>465</v>
      </c>
      <c r="E118" s="41" t="s">
        <v>466</v>
      </c>
      <c r="F118" s="41" t="s">
        <v>385</v>
      </c>
      <c r="G118" s="41" t="s">
        <v>30</v>
      </c>
      <c r="H118" s="42">
        <v>9.5</v>
      </c>
      <c r="I118" s="41" t="s">
        <v>467</v>
      </c>
      <c r="J118" s="41" t="s">
        <v>25</v>
      </c>
      <c r="K118" s="41" t="s">
        <v>59</v>
      </c>
      <c r="L118" s="45">
        <v>5</v>
      </c>
      <c r="M118" s="44">
        <f>H118*10000*0.25</f>
      </c>
      <c r="N118" s="44">
        <f>M118*L118</f>
      </c>
      <c r="O118" s="44">
        <f>M118*L118</f>
      </c>
      <c r="P118" s="44">
        <v>0</v>
      </c>
      <c r="Q118" s="44">
        <f>P118/70</f>
      </c>
      <c r="R118" s="44">
        <f>Q118*4</f>
      </c>
      <c r="S118" s="13"/>
      <c r="T118" s="13"/>
      <c r="U118" s="13"/>
      <c r="V118" s="18"/>
      <c r="W118" s="13"/>
    </row>
    <row x14ac:dyDescent="0.25" r="119" customHeight="1" ht="32.5">
      <c r="A119" s="40">
        <v>25</v>
      </c>
      <c r="B119" s="41" t="s">
        <v>381</v>
      </c>
      <c r="C119" s="41" t="s">
        <v>419</v>
      </c>
      <c r="D119" s="41" t="s">
        <v>450</v>
      </c>
      <c r="E119" s="41" t="s">
        <v>468</v>
      </c>
      <c r="F119" s="41" t="s">
        <v>385</v>
      </c>
      <c r="G119" s="41" t="s">
        <v>30</v>
      </c>
      <c r="H119" s="40">
        <v>9</v>
      </c>
      <c r="I119" s="41" t="s">
        <v>469</v>
      </c>
      <c r="J119" s="41" t="s">
        <v>25</v>
      </c>
      <c r="K119" s="41" t="s">
        <v>59</v>
      </c>
      <c r="L119" s="45">
        <v>5</v>
      </c>
      <c r="M119" s="44">
        <f>H119*10000*0.25</f>
      </c>
      <c r="N119" s="44">
        <f>M119*L119</f>
      </c>
      <c r="O119" s="44">
        <f>M119*L119</f>
      </c>
      <c r="P119" s="44">
        <v>0</v>
      </c>
      <c r="Q119" s="44">
        <f>P119/70</f>
      </c>
      <c r="R119" s="44">
        <f>Q119*4</f>
      </c>
      <c r="S119" s="13"/>
      <c r="T119" s="13"/>
      <c r="U119" s="13"/>
      <c r="V119" s="18"/>
      <c r="W119" s="13"/>
    </row>
    <row x14ac:dyDescent="0.25" r="120" customHeight="1" ht="32.5">
      <c r="A120" s="40">
        <v>26</v>
      </c>
      <c r="B120" s="41" t="s">
        <v>381</v>
      </c>
      <c r="C120" s="41" t="s">
        <v>470</v>
      </c>
      <c r="D120" s="41" t="s">
        <v>450</v>
      </c>
      <c r="E120" s="41" t="s">
        <v>471</v>
      </c>
      <c r="F120" s="41" t="s">
        <v>385</v>
      </c>
      <c r="G120" s="41" t="s">
        <v>30</v>
      </c>
      <c r="H120" s="42">
        <v>0.1</v>
      </c>
      <c r="I120" s="41" t="s">
        <v>472</v>
      </c>
      <c r="J120" s="41" t="s">
        <v>32</v>
      </c>
      <c r="K120" s="41" t="s">
        <v>59</v>
      </c>
      <c r="L120" s="45">
        <v>4</v>
      </c>
      <c r="M120" s="44">
        <f>H120*10000*0.25</f>
      </c>
      <c r="N120" s="44">
        <f>M120*L120</f>
      </c>
      <c r="O120" s="44">
        <f>M120*L120</f>
      </c>
      <c r="P120" s="44">
        <v>0</v>
      </c>
      <c r="Q120" s="44">
        <f>P120/70</f>
      </c>
      <c r="R120" s="44">
        <f>Q120*4</f>
      </c>
      <c r="S120" s="13"/>
      <c r="T120" s="13"/>
      <c r="U120" s="13"/>
      <c r="V120" s="18"/>
      <c r="W120" s="13"/>
    </row>
    <row x14ac:dyDescent="0.25" r="121" customHeight="1" ht="32.5">
      <c r="A121" s="40">
        <v>27</v>
      </c>
      <c r="B121" s="41" t="s">
        <v>381</v>
      </c>
      <c r="C121" s="41" t="s">
        <v>436</v>
      </c>
      <c r="D121" s="41" t="s">
        <v>450</v>
      </c>
      <c r="E121" s="41" t="s">
        <v>473</v>
      </c>
      <c r="F121" s="41" t="s">
        <v>385</v>
      </c>
      <c r="G121" s="41" t="s">
        <v>30</v>
      </c>
      <c r="H121" s="40">
        <v>3</v>
      </c>
      <c r="I121" s="41" t="s">
        <v>474</v>
      </c>
      <c r="J121" s="41" t="s">
        <v>25</v>
      </c>
      <c r="K121" s="41" t="s">
        <v>59</v>
      </c>
      <c r="L121" s="45">
        <v>2</v>
      </c>
      <c r="M121" s="44">
        <f>H121*10000*0.25</f>
      </c>
      <c r="N121" s="44">
        <f>M121*L121</f>
      </c>
      <c r="O121" s="44">
        <f>M121*L121</f>
      </c>
      <c r="P121" s="44">
        <v>0</v>
      </c>
      <c r="Q121" s="44">
        <f>P121/70</f>
      </c>
      <c r="R121" s="44">
        <f>Q121*4</f>
      </c>
      <c r="S121" s="13"/>
      <c r="T121" s="13"/>
      <c r="U121" s="13"/>
      <c r="V121" s="18"/>
      <c r="W121" s="13"/>
    </row>
    <row x14ac:dyDescent="0.25" r="122" customHeight="1" ht="32.5">
      <c r="A122" s="40">
        <v>28</v>
      </c>
      <c r="B122" s="41" t="s">
        <v>381</v>
      </c>
      <c r="C122" s="41" t="s">
        <v>475</v>
      </c>
      <c r="D122" s="41" t="s">
        <v>450</v>
      </c>
      <c r="E122" s="41" t="s">
        <v>476</v>
      </c>
      <c r="F122" s="41" t="s">
        <v>456</v>
      </c>
      <c r="G122" s="41" t="s">
        <v>104</v>
      </c>
      <c r="H122" s="42">
        <v>0.1</v>
      </c>
      <c r="I122" s="41" t="s">
        <v>477</v>
      </c>
      <c r="J122" s="41" t="s">
        <v>25</v>
      </c>
      <c r="K122" s="41" t="s">
        <v>59</v>
      </c>
      <c r="L122" s="45">
        <v>6</v>
      </c>
      <c r="M122" s="44">
        <f>H122*10000</f>
      </c>
      <c r="N122" s="44">
        <f>M122*5</f>
      </c>
      <c r="O122" s="44">
        <f>M122*5</f>
      </c>
      <c r="P122" s="44">
        <v>0</v>
      </c>
      <c r="Q122" s="44">
        <f>P122/70</f>
      </c>
      <c r="R122" s="44">
        <f>Q122*4</f>
      </c>
      <c r="S122" s="13"/>
      <c r="T122" s="13"/>
      <c r="U122" s="13"/>
      <c r="V122" s="18"/>
      <c r="W122" s="13"/>
    </row>
    <row x14ac:dyDescent="0.25" r="123" customHeight="1" ht="32.5">
      <c r="A123" s="40">
        <v>29</v>
      </c>
      <c r="B123" s="41" t="s">
        <v>381</v>
      </c>
      <c r="C123" s="41" t="s">
        <v>478</v>
      </c>
      <c r="D123" s="41" t="s">
        <v>479</v>
      </c>
      <c r="E123" s="41" t="s">
        <v>480</v>
      </c>
      <c r="F123" s="41" t="s">
        <v>415</v>
      </c>
      <c r="G123" s="41" t="s">
        <v>23</v>
      </c>
      <c r="H123" s="42">
        <v>1.5</v>
      </c>
      <c r="I123" s="41" t="s">
        <v>481</v>
      </c>
      <c r="J123" s="41" t="s">
        <v>32</v>
      </c>
      <c r="K123" s="41" t="s">
        <v>59</v>
      </c>
      <c r="L123" s="45">
        <v>9</v>
      </c>
      <c r="M123" s="44">
        <f>H123*10000*0.25</f>
      </c>
      <c r="N123" s="44">
        <f>M123*L123</f>
      </c>
      <c r="O123" s="44">
        <f>M123*2</f>
      </c>
      <c r="P123" s="44">
        <f>M123*7*0.8</f>
      </c>
      <c r="Q123" s="44">
        <f>P123/70</f>
      </c>
      <c r="R123" s="44">
        <f>Q123*4</f>
      </c>
      <c r="S123" s="13"/>
      <c r="T123" s="13"/>
      <c r="U123" s="13"/>
      <c r="V123" s="18"/>
      <c r="W123" s="13"/>
    </row>
    <row x14ac:dyDescent="0.25" r="124" customHeight="1" ht="32.5" customFormat="1" s="1">
      <c r="A124" s="40">
        <v>30</v>
      </c>
      <c r="B124" s="41" t="s">
        <v>381</v>
      </c>
      <c r="C124" s="41" t="s">
        <v>403</v>
      </c>
      <c r="D124" s="41" t="s">
        <v>479</v>
      </c>
      <c r="E124" s="41" t="s">
        <v>482</v>
      </c>
      <c r="F124" s="41" t="s">
        <v>415</v>
      </c>
      <c r="G124" s="41" t="s">
        <v>23</v>
      </c>
      <c r="H124" s="42">
        <v>0.55</v>
      </c>
      <c r="I124" s="41" t="s">
        <v>483</v>
      </c>
      <c r="J124" s="41" t="s">
        <v>25</v>
      </c>
      <c r="K124" s="41" t="s">
        <v>48</v>
      </c>
      <c r="L124" s="17">
        <v>20</v>
      </c>
      <c r="M124" s="44">
        <f>H124*10000*0.25</f>
      </c>
      <c r="N124" s="44">
        <f>M124*L124</f>
      </c>
      <c r="O124" s="44">
        <f>M124*10</f>
      </c>
      <c r="P124" s="44">
        <f>M124*15*0.8</f>
      </c>
      <c r="Q124" s="44">
        <f>P124/70</f>
      </c>
      <c r="R124" s="44">
        <f>Q124*4</f>
      </c>
      <c r="S124" s="13"/>
      <c r="T124" s="13"/>
      <c r="U124" s="13"/>
      <c r="V124" s="13"/>
      <c r="W124" s="13"/>
    </row>
    <row x14ac:dyDescent="0.25" r="125" customHeight="1" ht="32.5" customFormat="1" s="1">
      <c r="A125" s="40">
        <v>31</v>
      </c>
      <c r="B125" s="41" t="s">
        <v>381</v>
      </c>
      <c r="C125" s="41" t="s">
        <v>484</v>
      </c>
      <c r="D125" s="41" t="s">
        <v>485</v>
      </c>
      <c r="E125" s="41" t="s">
        <v>486</v>
      </c>
      <c r="F125" s="41" t="s">
        <v>415</v>
      </c>
      <c r="G125" s="41" t="s">
        <v>23</v>
      </c>
      <c r="H125" s="42">
        <v>3.3</v>
      </c>
      <c r="I125" s="41" t="s">
        <v>487</v>
      </c>
      <c r="J125" s="41" t="s">
        <v>25</v>
      </c>
      <c r="K125" s="41" t="s">
        <v>59</v>
      </c>
      <c r="L125" s="17">
        <v>13</v>
      </c>
      <c r="M125" s="44">
        <f>H125*10000*0.25</f>
      </c>
      <c r="N125" s="44">
        <f>M125*L125</f>
      </c>
      <c r="O125" s="44">
        <f>M125*3</f>
      </c>
      <c r="P125" s="44">
        <f>M125*10*0.8</f>
      </c>
      <c r="Q125" s="44">
        <f>P125/70</f>
      </c>
      <c r="R125" s="44">
        <f>Q125*4</f>
      </c>
      <c r="S125" s="13"/>
      <c r="T125" s="13"/>
      <c r="U125" s="13"/>
      <c r="V125" s="13"/>
      <c r="W125" s="13"/>
    </row>
    <row x14ac:dyDescent="0.25" r="126" customHeight="1" ht="32.5">
      <c r="A126" s="40">
        <v>32</v>
      </c>
      <c r="B126" s="41" t="s">
        <v>381</v>
      </c>
      <c r="C126" s="41" t="s">
        <v>440</v>
      </c>
      <c r="D126" s="41" t="s">
        <v>441</v>
      </c>
      <c r="E126" s="41" t="s">
        <v>488</v>
      </c>
      <c r="F126" s="41" t="s">
        <v>415</v>
      </c>
      <c r="G126" s="41" t="s">
        <v>23</v>
      </c>
      <c r="H126" s="42">
        <v>9.9</v>
      </c>
      <c r="I126" s="41" t="s">
        <v>489</v>
      </c>
      <c r="J126" s="41" t="s">
        <v>25</v>
      </c>
      <c r="K126" s="41" t="s">
        <v>59</v>
      </c>
      <c r="L126" s="45">
        <v>9</v>
      </c>
      <c r="M126" s="44">
        <f>H126*10000*0.25</f>
      </c>
      <c r="N126" s="44">
        <f>M126*L126</f>
      </c>
      <c r="O126" s="44">
        <f>M126*2</f>
      </c>
      <c r="P126" s="44">
        <f>M126*7*0.8</f>
      </c>
      <c r="Q126" s="44">
        <f>P126/70</f>
      </c>
      <c r="R126" s="44">
        <f>Q126*4</f>
      </c>
      <c r="S126" s="13"/>
      <c r="T126" s="13"/>
      <c r="U126" s="13"/>
      <c r="V126" s="18"/>
      <c r="W126" s="13"/>
    </row>
    <row x14ac:dyDescent="0.25" r="127" customHeight="1" ht="32.5">
      <c r="A127" s="40">
        <v>33</v>
      </c>
      <c r="B127" s="41" t="s">
        <v>381</v>
      </c>
      <c r="C127" s="41" t="s">
        <v>490</v>
      </c>
      <c r="D127" s="41" t="s">
        <v>491</v>
      </c>
      <c r="E127" s="41" t="s">
        <v>492</v>
      </c>
      <c r="F127" s="41" t="s">
        <v>415</v>
      </c>
      <c r="G127" s="41" t="s">
        <v>23</v>
      </c>
      <c r="H127" s="42">
        <v>7.7</v>
      </c>
      <c r="I127" s="41" t="s">
        <v>493</v>
      </c>
      <c r="J127" s="41" t="s">
        <v>32</v>
      </c>
      <c r="K127" s="41" t="s">
        <v>59</v>
      </c>
      <c r="L127" s="45">
        <v>9</v>
      </c>
      <c r="M127" s="44">
        <f>H127*10000*0.25</f>
      </c>
      <c r="N127" s="44">
        <f>M127*L127</f>
      </c>
      <c r="O127" s="44">
        <f>M127*2</f>
      </c>
      <c r="P127" s="44">
        <f>M127*7*0.8</f>
      </c>
      <c r="Q127" s="44">
        <f>P127/70</f>
      </c>
      <c r="R127" s="44">
        <f>Q127*4</f>
      </c>
      <c r="S127" s="13"/>
      <c r="T127" s="13"/>
      <c r="U127" s="13"/>
      <c r="V127" s="18"/>
      <c r="W127" s="13"/>
    </row>
    <row x14ac:dyDescent="0.25" r="128" customHeight="1" ht="32.5">
      <c r="A128" s="40">
        <v>34</v>
      </c>
      <c r="B128" s="41" t="s">
        <v>381</v>
      </c>
      <c r="C128" s="41" t="s">
        <v>494</v>
      </c>
      <c r="D128" s="41" t="s">
        <v>495</v>
      </c>
      <c r="E128" s="41" t="s">
        <v>496</v>
      </c>
      <c r="F128" s="41" t="s">
        <v>415</v>
      </c>
      <c r="G128" s="41" t="s">
        <v>23</v>
      </c>
      <c r="H128" s="40">
        <v>14</v>
      </c>
      <c r="I128" s="41" t="s">
        <v>497</v>
      </c>
      <c r="J128" s="41" t="s">
        <v>25</v>
      </c>
      <c r="K128" s="41" t="s">
        <v>59</v>
      </c>
      <c r="L128" s="45">
        <v>10</v>
      </c>
      <c r="M128" s="44">
        <f>H128*10000*0.25</f>
      </c>
      <c r="N128" s="44">
        <f>M128*L128</f>
      </c>
      <c r="O128" s="44">
        <f>M128*2</f>
      </c>
      <c r="P128" s="44">
        <f>M128*8*0.8</f>
      </c>
      <c r="Q128" s="44">
        <f>P128/70</f>
      </c>
      <c r="R128" s="44">
        <f>Q128*4</f>
      </c>
      <c r="S128" s="13"/>
      <c r="T128" s="13"/>
      <c r="U128" s="13"/>
      <c r="V128" s="18"/>
      <c r="W128" s="13"/>
    </row>
    <row x14ac:dyDescent="0.25" r="129" customHeight="1" ht="32.5" customFormat="1" s="1">
      <c r="A129" s="40">
        <v>35</v>
      </c>
      <c r="B129" s="41" t="s">
        <v>381</v>
      </c>
      <c r="C129" s="41" t="s">
        <v>498</v>
      </c>
      <c r="D129" s="41" t="s">
        <v>499</v>
      </c>
      <c r="E129" s="41" t="s">
        <v>500</v>
      </c>
      <c r="F129" s="41" t="s">
        <v>434</v>
      </c>
      <c r="G129" s="41" t="s">
        <v>23</v>
      </c>
      <c r="H129" s="42">
        <v>0.18</v>
      </c>
      <c r="I129" s="41" t="s">
        <v>501</v>
      </c>
      <c r="J129" s="41" t="s">
        <v>25</v>
      </c>
      <c r="K129" s="41" t="s">
        <v>26</v>
      </c>
      <c r="L129" s="27">
        <v>9</v>
      </c>
      <c r="M129" s="44">
        <f>H129*10000*0.25</f>
      </c>
      <c r="N129" s="44">
        <f>M129*9</f>
      </c>
      <c r="O129" s="44">
        <f>M129*2</f>
      </c>
      <c r="P129" s="44">
        <f>M129*7*0.8</f>
      </c>
      <c r="Q129" s="44">
        <f>P129/70</f>
      </c>
      <c r="R129" s="44">
        <f>Q129*4</f>
      </c>
      <c r="S129" s="13"/>
      <c r="T129" s="13"/>
      <c r="U129" s="13"/>
      <c r="V129" s="13"/>
      <c r="W129" s="13"/>
    </row>
    <row x14ac:dyDescent="0.25" r="130" customHeight="1" ht="32.5">
      <c r="A130" s="40">
        <v>36</v>
      </c>
      <c r="B130" s="41" t="s">
        <v>381</v>
      </c>
      <c r="C130" s="41" t="s">
        <v>502</v>
      </c>
      <c r="D130" s="41" t="s">
        <v>503</v>
      </c>
      <c r="E130" s="41" t="s">
        <v>504</v>
      </c>
      <c r="F130" s="41" t="s">
        <v>434</v>
      </c>
      <c r="G130" s="41" t="s">
        <v>23</v>
      </c>
      <c r="H130" s="42">
        <v>8.9</v>
      </c>
      <c r="I130" s="41" t="s">
        <v>505</v>
      </c>
      <c r="J130" s="41" t="s">
        <v>32</v>
      </c>
      <c r="K130" s="41" t="s">
        <v>59</v>
      </c>
      <c r="L130" s="45">
        <v>10</v>
      </c>
      <c r="M130" s="44">
        <f>H130*10000*0.25</f>
      </c>
      <c r="N130" s="44">
        <f>M130*L130</f>
      </c>
      <c r="O130" s="44">
        <f>M130*2</f>
      </c>
      <c r="P130" s="44">
        <f>M130*8*0.8</f>
      </c>
      <c r="Q130" s="44">
        <f>P130/70</f>
      </c>
      <c r="R130" s="44">
        <f>Q130*4</f>
      </c>
      <c r="S130" s="13"/>
      <c r="T130" s="13"/>
      <c r="U130" s="13"/>
      <c r="V130" s="18"/>
      <c r="W130" s="13"/>
    </row>
    <row x14ac:dyDescent="0.25" r="131" customHeight="1" ht="32.5" customFormat="1" s="1">
      <c r="A131" s="40">
        <v>37</v>
      </c>
      <c r="B131" s="41" t="s">
        <v>381</v>
      </c>
      <c r="C131" s="41" t="s">
        <v>506</v>
      </c>
      <c r="D131" s="41" t="s">
        <v>507</v>
      </c>
      <c r="E131" s="41" t="s">
        <v>508</v>
      </c>
      <c r="F131" s="41" t="s">
        <v>415</v>
      </c>
      <c r="G131" s="41" t="s">
        <v>23</v>
      </c>
      <c r="H131" s="42">
        <v>3.5</v>
      </c>
      <c r="I131" s="41" t="s">
        <v>509</v>
      </c>
      <c r="J131" s="41" t="s">
        <v>32</v>
      </c>
      <c r="K131" s="41" t="s">
        <v>48</v>
      </c>
      <c r="L131" s="17">
        <v>20</v>
      </c>
      <c r="M131" s="44">
        <f>H131*10000*0.25</f>
      </c>
      <c r="N131" s="44">
        <f>M131*L131</f>
      </c>
      <c r="O131" s="44">
        <f>M131*10</f>
      </c>
      <c r="P131" s="44">
        <f>M131*15*0.8</f>
      </c>
      <c r="Q131" s="44">
        <f>P131/70</f>
      </c>
      <c r="R131" s="44">
        <f>Q131*4</f>
      </c>
      <c r="S131" s="13"/>
      <c r="T131" s="13"/>
      <c r="U131" s="13"/>
      <c r="V131" s="13"/>
      <c r="W131" s="13"/>
    </row>
    <row x14ac:dyDescent="0.25" r="132" customHeight="1" ht="32.5">
      <c r="A132" s="40">
        <v>38</v>
      </c>
      <c r="B132" s="41" t="s">
        <v>381</v>
      </c>
      <c r="C132" s="41" t="s">
        <v>510</v>
      </c>
      <c r="D132" s="41" t="s">
        <v>511</v>
      </c>
      <c r="E132" s="41" t="s">
        <v>512</v>
      </c>
      <c r="F132" s="41" t="s">
        <v>415</v>
      </c>
      <c r="G132" s="41" t="s">
        <v>23</v>
      </c>
      <c r="H132" s="42">
        <v>1.4</v>
      </c>
      <c r="I132" s="41" t="s">
        <v>513</v>
      </c>
      <c r="J132" s="41" t="s">
        <v>25</v>
      </c>
      <c r="K132" s="41" t="s">
        <v>59</v>
      </c>
      <c r="L132" s="45">
        <v>12</v>
      </c>
      <c r="M132" s="44">
        <f>H132*10000*0.25</f>
      </c>
      <c r="N132" s="44">
        <f>M132*L132</f>
      </c>
      <c r="O132" s="44">
        <f>M132*2</f>
      </c>
      <c r="P132" s="44">
        <f>M132*10*0.8</f>
      </c>
      <c r="Q132" s="44">
        <f>P132/70</f>
      </c>
      <c r="R132" s="44">
        <f>Q132*4</f>
      </c>
      <c r="S132" s="13"/>
      <c r="T132" s="13"/>
      <c r="U132" s="13"/>
      <c r="V132" s="18"/>
      <c r="W132" s="13"/>
    </row>
    <row x14ac:dyDescent="0.25" r="133" customHeight="1" ht="32.5" customFormat="1" s="1">
      <c r="A133" s="40">
        <v>39</v>
      </c>
      <c r="B133" s="41" t="s">
        <v>381</v>
      </c>
      <c r="C133" s="41" t="s">
        <v>514</v>
      </c>
      <c r="D133" s="41" t="s">
        <v>515</v>
      </c>
      <c r="E133" s="41" t="s">
        <v>516</v>
      </c>
      <c r="F133" s="41" t="s">
        <v>415</v>
      </c>
      <c r="G133" s="41" t="s">
        <v>23</v>
      </c>
      <c r="H133" s="42">
        <v>0.3</v>
      </c>
      <c r="I133" s="41" t="s">
        <v>517</v>
      </c>
      <c r="J133" s="41" t="s">
        <v>25</v>
      </c>
      <c r="K133" s="41" t="s">
        <v>48</v>
      </c>
      <c r="L133" s="17">
        <v>20</v>
      </c>
      <c r="M133" s="44">
        <f>H133*10000*0.25</f>
      </c>
      <c r="N133" s="44">
        <f>M133*L133</f>
      </c>
      <c r="O133" s="44">
        <f>M133*10</f>
      </c>
      <c r="P133" s="44">
        <f>M133*15*0.8</f>
      </c>
      <c r="Q133" s="44">
        <f>P133/70</f>
      </c>
      <c r="R133" s="44">
        <f>Q133*4</f>
      </c>
      <c r="S133" s="13"/>
      <c r="T133" s="13"/>
      <c r="U133" s="13"/>
      <c r="V133" s="13"/>
      <c r="W133" s="13"/>
    </row>
    <row x14ac:dyDescent="0.25" r="134" customHeight="1" ht="32.5" customFormat="1" s="1">
      <c r="A134" s="40">
        <v>40</v>
      </c>
      <c r="B134" s="41" t="s">
        <v>381</v>
      </c>
      <c r="C134" s="41" t="s">
        <v>518</v>
      </c>
      <c r="D134" s="41" t="s">
        <v>519</v>
      </c>
      <c r="E134" s="41" t="s">
        <v>520</v>
      </c>
      <c r="F134" s="41" t="s">
        <v>415</v>
      </c>
      <c r="G134" s="41" t="s">
        <v>23</v>
      </c>
      <c r="H134" s="40">
        <v>15</v>
      </c>
      <c r="I134" s="41" t="s">
        <v>521</v>
      </c>
      <c r="J134" s="41" t="s">
        <v>25</v>
      </c>
      <c r="K134" s="41" t="s">
        <v>48</v>
      </c>
      <c r="L134" s="17">
        <v>18</v>
      </c>
      <c r="M134" s="44">
        <f>H134*10000*0.25</f>
      </c>
      <c r="N134" s="44">
        <f>M134*L134</f>
      </c>
      <c r="O134" s="44">
        <f>M134*10</f>
      </c>
      <c r="P134" s="44">
        <f>M134*8*0.8</f>
      </c>
      <c r="Q134" s="44">
        <f>P134/70</f>
      </c>
      <c r="R134" s="44">
        <f>Q134*4</f>
      </c>
      <c r="S134" s="13"/>
      <c r="T134" s="13"/>
      <c r="U134" s="13"/>
      <c r="V134" s="13"/>
      <c r="W134" s="13"/>
    </row>
    <row x14ac:dyDescent="0.25" r="135" customHeight="1" ht="32.5" customFormat="1" s="1">
      <c r="A135" s="40">
        <v>41</v>
      </c>
      <c r="B135" s="41" t="s">
        <v>381</v>
      </c>
      <c r="C135" s="41" t="s">
        <v>522</v>
      </c>
      <c r="D135" s="41" t="s">
        <v>523</v>
      </c>
      <c r="E135" s="41" t="s">
        <v>524</v>
      </c>
      <c r="F135" s="41" t="s">
        <v>525</v>
      </c>
      <c r="G135" s="41" t="s">
        <v>23</v>
      </c>
      <c r="H135" s="42">
        <v>0.9</v>
      </c>
      <c r="I135" s="41" t="s">
        <v>526</v>
      </c>
      <c r="J135" s="41" t="s">
        <v>25</v>
      </c>
      <c r="K135" s="41" t="s">
        <v>59</v>
      </c>
      <c r="L135" s="17">
        <v>53</v>
      </c>
      <c r="M135" s="44">
        <f>H135*10000*0.25</f>
      </c>
      <c r="N135" s="44">
        <f>M135*L135</f>
      </c>
      <c r="O135" s="44">
        <f>M135*15</f>
      </c>
      <c r="P135" s="44">
        <f>M135*37*0.8</f>
      </c>
      <c r="Q135" s="44">
        <f>P135/70</f>
      </c>
      <c r="R135" s="44">
        <f>Q135*4</f>
      </c>
      <c r="S135" s="13"/>
      <c r="T135" s="13"/>
      <c r="U135" s="13"/>
      <c r="V135" s="13"/>
      <c r="W135" s="13"/>
    </row>
    <row x14ac:dyDescent="0.25" r="136" customHeight="1" ht="32.5" customFormat="1" s="1">
      <c r="A136" s="40">
        <v>42</v>
      </c>
      <c r="B136" s="41" t="s">
        <v>381</v>
      </c>
      <c r="C136" s="41" t="s">
        <v>423</v>
      </c>
      <c r="D136" s="41" t="s">
        <v>511</v>
      </c>
      <c r="E136" s="41" t="s">
        <v>527</v>
      </c>
      <c r="F136" s="41" t="s">
        <v>415</v>
      </c>
      <c r="G136" s="41" t="s">
        <v>23</v>
      </c>
      <c r="H136" s="42">
        <v>0.4</v>
      </c>
      <c r="I136" s="41" t="s">
        <v>528</v>
      </c>
      <c r="J136" s="41" t="s">
        <v>32</v>
      </c>
      <c r="K136" s="41" t="s">
        <v>59</v>
      </c>
      <c r="L136" s="17">
        <v>20</v>
      </c>
      <c r="M136" s="44">
        <f>H136*10000*0.25</f>
      </c>
      <c r="N136" s="44">
        <f>M136*L136</f>
      </c>
      <c r="O136" s="44">
        <f>M136*10</f>
      </c>
      <c r="P136" s="44">
        <f>M136*15*0.8</f>
      </c>
      <c r="Q136" s="44">
        <f>P136/70</f>
      </c>
      <c r="R136" s="44">
        <f>Q136*4</f>
      </c>
      <c r="S136" s="13"/>
      <c r="T136" s="13"/>
      <c r="U136" s="13"/>
      <c r="V136" s="13"/>
      <c r="W136" s="13"/>
    </row>
    <row x14ac:dyDescent="0.25" r="137" customHeight="1" ht="32.5" customFormat="1" s="1">
      <c r="A137" s="40">
        <v>43</v>
      </c>
      <c r="B137" s="41" t="s">
        <v>381</v>
      </c>
      <c r="C137" s="41" t="s">
        <v>484</v>
      </c>
      <c r="D137" s="41" t="s">
        <v>529</v>
      </c>
      <c r="E137" s="41" t="s">
        <v>527</v>
      </c>
      <c r="F137" s="41" t="s">
        <v>415</v>
      </c>
      <c r="G137" s="41" t="s">
        <v>23</v>
      </c>
      <c r="H137" s="42">
        <v>0.5</v>
      </c>
      <c r="I137" s="41" t="s">
        <v>530</v>
      </c>
      <c r="J137" s="41" t="s">
        <v>32</v>
      </c>
      <c r="K137" s="41" t="s">
        <v>59</v>
      </c>
      <c r="L137" s="17">
        <v>20</v>
      </c>
      <c r="M137" s="44">
        <f>H137*10000*0.25</f>
      </c>
      <c r="N137" s="44">
        <f>M137*L137</f>
      </c>
      <c r="O137" s="44">
        <f>M137*10</f>
      </c>
      <c r="P137" s="44">
        <f>M137*15*0.8</f>
      </c>
      <c r="Q137" s="44">
        <f>P137/70</f>
      </c>
      <c r="R137" s="44">
        <f>Q137*4</f>
      </c>
      <c r="S137" s="13"/>
      <c r="T137" s="13"/>
      <c r="U137" s="13"/>
      <c r="V137" s="13"/>
      <c r="W137" s="13"/>
    </row>
    <row x14ac:dyDescent="0.25" r="138" customHeight="1" ht="32.5">
      <c r="A138" s="40">
        <v>44</v>
      </c>
      <c r="B138" s="41" t="s">
        <v>381</v>
      </c>
      <c r="C138" s="41" t="s">
        <v>461</v>
      </c>
      <c r="D138" s="41" t="s">
        <v>511</v>
      </c>
      <c r="E138" s="41" t="s">
        <v>531</v>
      </c>
      <c r="F138" s="41" t="s">
        <v>415</v>
      </c>
      <c r="G138" s="41" t="s">
        <v>23</v>
      </c>
      <c r="H138" s="42">
        <v>23.9</v>
      </c>
      <c r="I138" s="41" t="s">
        <v>532</v>
      </c>
      <c r="J138" s="41" t="s">
        <v>32</v>
      </c>
      <c r="K138" s="41" t="s">
        <v>59</v>
      </c>
      <c r="L138" s="45">
        <v>9</v>
      </c>
      <c r="M138" s="44">
        <f>H138*10000*0.25</f>
      </c>
      <c r="N138" s="44">
        <f>M138*L138</f>
      </c>
      <c r="O138" s="44">
        <f>M138*2</f>
      </c>
      <c r="P138" s="44">
        <f>M138*7*0.8</f>
      </c>
      <c r="Q138" s="44">
        <f>P138/70</f>
      </c>
      <c r="R138" s="44">
        <f>Q138*4</f>
      </c>
      <c r="S138" s="13"/>
      <c r="T138" s="13"/>
      <c r="U138" s="13"/>
      <c r="V138" s="18"/>
      <c r="W138" s="13"/>
    </row>
    <row x14ac:dyDescent="0.25" r="139" customHeight="1" ht="32.5">
      <c r="A139" s="40">
        <v>45</v>
      </c>
      <c r="B139" s="41" t="s">
        <v>381</v>
      </c>
      <c r="C139" s="41" t="s">
        <v>428</v>
      </c>
      <c r="D139" s="41" t="s">
        <v>533</v>
      </c>
      <c r="E139" s="41" t="s">
        <v>534</v>
      </c>
      <c r="F139" s="41" t="s">
        <v>415</v>
      </c>
      <c r="G139" s="41" t="s">
        <v>23</v>
      </c>
      <c r="H139" s="42">
        <v>0.8</v>
      </c>
      <c r="I139" s="41" t="s">
        <v>535</v>
      </c>
      <c r="J139" s="41" t="s">
        <v>32</v>
      </c>
      <c r="K139" s="41" t="s">
        <v>59</v>
      </c>
      <c r="L139" s="45">
        <v>10</v>
      </c>
      <c r="M139" s="44">
        <f>H139*10000*0.25</f>
      </c>
      <c r="N139" s="44">
        <f>M139*L139</f>
      </c>
      <c r="O139" s="44">
        <f>M139*3</f>
      </c>
      <c r="P139" s="44">
        <f>M139*8*0.8</f>
      </c>
      <c r="Q139" s="44">
        <f>P139/70</f>
      </c>
      <c r="R139" s="44">
        <f>Q139*4</f>
      </c>
      <c r="S139" s="13"/>
      <c r="T139" s="13"/>
      <c r="U139" s="13"/>
      <c r="V139" s="18"/>
      <c r="W139" s="13"/>
    </row>
    <row x14ac:dyDescent="0.25" r="140" customHeight="1" ht="32.5">
      <c r="A140" s="40">
        <v>46</v>
      </c>
      <c r="B140" s="41" t="s">
        <v>381</v>
      </c>
      <c r="C140" s="41" t="s">
        <v>536</v>
      </c>
      <c r="D140" s="41" t="s">
        <v>537</v>
      </c>
      <c r="E140" s="41" t="s">
        <v>534</v>
      </c>
      <c r="F140" s="41" t="s">
        <v>415</v>
      </c>
      <c r="G140" s="41" t="s">
        <v>23</v>
      </c>
      <c r="H140" s="42">
        <v>72.3</v>
      </c>
      <c r="I140" s="41" t="s">
        <v>538</v>
      </c>
      <c r="J140" s="41" t="s">
        <v>32</v>
      </c>
      <c r="K140" s="41" t="s">
        <v>59</v>
      </c>
      <c r="L140" s="45">
        <v>8</v>
      </c>
      <c r="M140" s="44">
        <f>H140*10000*0.25</f>
      </c>
      <c r="N140" s="44">
        <f>M140*L140</f>
      </c>
      <c r="O140" s="44">
        <f>M140*3</f>
      </c>
      <c r="P140" s="44">
        <f>M140*8*0.8</f>
      </c>
      <c r="Q140" s="44">
        <f>P140/70</f>
      </c>
      <c r="R140" s="44">
        <f>Q140*4</f>
      </c>
      <c r="S140" s="13"/>
      <c r="T140" s="13"/>
      <c r="U140" s="13"/>
      <c r="V140" s="18"/>
      <c r="W140" s="13"/>
    </row>
    <row x14ac:dyDescent="0.25" r="141" customHeight="1" ht="32.5">
      <c r="A141" s="40">
        <v>47</v>
      </c>
      <c r="B141" s="41" t="s">
        <v>381</v>
      </c>
      <c r="C141" s="41" t="s">
        <v>436</v>
      </c>
      <c r="D141" s="41" t="s">
        <v>539</v>
      </c>
      <c r="E141" s="41" t="s">
        <v>540</v>
      </c>
      <c r="F141" s="41" t="s">
        <v>415</v>
      </c>
      <c r="G141" s="41" t="s">
        <v>23</v>
      </c>
      <c r="H141" s="42">
        <v>13.9</v>
      </c>
      <c r="I141" s="41" t="s">
        <v>541</v>
      </c>
      <c r="J141" s="41" t="s">
        <v>32</v>
      </c>
      <c r="K141" s="41" t="s">
        <v>59</v>
      </c>
      <c r="L141" s="45">
        <v>7</v>
      </c>
      <c r="M141" s="44">
        <f>H141*10000*0.25</f>
      </c>
      <c r="N141" s="44">
        <f>M141*L141</f>
      </c>
      <c r="O141" s="44">
        <f>M141*2</f>
      </c>
      <c r="P141" s="44">
        <f>M141*6*0.8</f>
      </c>
      <c r="Q141" s="44">
        <f>P141/70</f>
      </c>
      <c r="R141" s="44">
        <f>Q141*4</f>
      </c>
      <c r="S141" s="13"/>
      <c r="T141" s="13"/>
      <c r="U141" s="13"/>
      <c r="V141" s="18"/>
      <c r="W141" s="13"/>
    </row>
    <row x14ac:dyDescent="0.25" r="142" customHeight="1" ht="32.5">
      <c r="A142" s="40">
        <v>48</v>
      </c>
      <c r="B142" s="41" t="s">
        <v>381</v>
      </c>
      <c r="C142" s="41" t="s">
        <v>542</v>
      </c>
      <c r="D142" s="41" t="s">
        <v>533</v>
      </c>
      <c r="E142" s="41" t="s">
        <v>540</v>
      </c>
      <c r="F142" s="41" t="s">
        <v>415</v>
      </c>
      <c r="G142" s="41" t="s">
        <v>23</v>
      </c>
      <c r="H142" s="42">
        <v>17.9</v>
      </c>
      <c r="I142" s="41" t="s">
        <v>543</v>
      </c>
      <c r="J142" s="41" t="s">
        <v>32</v>
      </c>
      <c r="K142" s="41" t="s">
        <v>59</v>
      </c>
      <c r="L142" s="45">
        <v>8</v>
      </c>
      <c r="M142" s="44">
        <f>H142*10000*0.25</f>
      </c>
      <c r="N142" s="44">
        <f>M142*L142</f>
      </c>
      <c r="O142" s="44">
        <f>M142*2</f>
      </c>
      <c r="P142" s="44">
        <f>M142*6*0.8</f>
      </c>
      <c r="Q142" s="44">
        <f>P142/70</f>
      </c>
      <c r="R142" s="44">
        <f>Q142*4</f>
      </c>
      <c r="S142" s="13"/>
      <c r="T142" s="13"/>
      <c r="U142" s="13"/>
      <c r="V142" s="18"/>
      <c r="W142" s="13"/>
    </row>
    <row x14ac:dyDescent="0.25" r="143" customHeight="1" ht="32.5">
      <c r="A143" s="21" t="s">
        <v>544</v>
      </c>
      <c r="B143" s="37" t="s">
        <v>545</v>
      </c>
      <c r="C143" s="37" t="s">
        <v>546</v>
      </c>
      <c r="D143" s="22" t="s">
        <v>515</v>
      </c>
      <c r="E143" s="37" t="s">
        <v>547</v>
      </c>
      <c r="F143" s="37" t="s">
        <v>548</v>
      </c>
      <c r="G143" s="22" t="s">
        <v>23</v>
      </c>
      <c r="H143" s="38">
        <v>5.2</v>
      </c>
      <c r="I143" s="39" t="s">
        <v>549</v>
      </c>
      <c r="J143" s="22" t="s">
        <v>25</v>
      </c>
      <c r="K143" s="37" t="s">
        <v>380</v>
      </c>
      <c r="L143" s="45">
        <v>12</v>
      </c>
      <c r="M143" s="23">
        <f>H143*10000*0.25</f>
      </c>
      <c r="N143" s="23">
        <f>M143*L143</f>
      </c>
      <c r="O143" s="23">
        <f>M143*2</f>
      </c>
      <c r="P143" s="23">
        <f>M143*10*0.8</f>
      </c>
      <c r="Q143" s="23">
        <f>P143/70</f>
      </c>
      <c r="R143" s="23">
        <f>Q143*4</f>
      </c>
      <c r="S143" s="13"/>
      <c r="T143" s="13"/>
      <c r="U143" s="13"/>
      <c r="V143" s="18"/>
      <c r="W143" s="13"/>
    </row>
    <row x14ac:dyDescent="0.25" r="144" customHeight="1" ht="32.5">
      <c r="A144" s="46">
        <v>1</v>
      </c>
      <c r="B144" s="47" t="s">
        <v>550</v>
      </c>
      <c r="C144" s="47" t="s">
        <v>551</v>
      </c>
      <c r="D144" s="47" t="s">
        <v>552</v>
      </c>
      <c r="E144" s="47" t="s">
        <v>553</v>
      </c>
      <c r="F144" s="47" t="s">
        <v>554</v>
      </c>
      <c r="G144" s="47" t="s">
        <v>30</v>
      </c>
      <c r="H144" s="48">
        <v>0.0157</v>
      </c>
      <c r="I144" s="47" t="s">
        <v>555</v>
      </c>
      <c r="J144" s="47" t="s">
        <v>556</v>
      </c>
      <c r="K144" s="47" t="s">
        <v>26</v>
      </c>
      <c r="L144" s="45">
        <v>3</v>
      </c>
      <c r="M144" s="49">
        <f>H144*10000*0.25</f>
      </c>
      <c r="N144" s="49">
        <f>M144*L144</f>
      </c>
      <c r="O144" s="49">
        <f>M144*L144</f>
      </c>
      <c r="P144" s="49">
        <v>0</v>
      </c>
      <c r="Q144" s="49">
        <f>P144/70</f>
      </c>
      <c r="R144" s="49">
        <f>Q144*4</f>
      </c>
      <c r="S144" s="13"/>
      <c r="T144" s="13"/>
      <c r="U144" s="13"/>
      <c r="V144" s="18"/>
      <c r="W144" s="13"/>
    </row>
    <row x14ac:dyDescent="0.25" r="145" customHeight="1" ht="18.75">
      <c r="A145" s="46">
        <v>2</v>
      </c>
      <c r="B145" s="47" t="s">
        <v>550</v>
      </c>
      <c r="C145" s="47" t="s">
        <v>557</v>
      </c>
      <c r="D145" s="47" t="s">
        <v>558</v>
      </c>
      <c r="E145" s="47" t="s">
        <v>559</v>
      </c>
      <c r="F145" s="47" t="s">
        <v>560</v>
      </c>
      <c r="G145" s="47" t="s">
        <v>23</v>
      </c>
      <c r="H145" s="48">
        <v>6.98</v>
      </c>
      <c r="I145" s="47" t="s">
        <v>561</v>
      </c>
      <c r="J145" s="47" t="s">
        <v>25</v>
      </c>
      <c r="K145" s="47" t="s">
        <v>26</v>
      </c>
      <c r="L145" s="45">
        <v>3</v>
      </c>
      <c r="M145" s="49">
        <f>H145*10000*0.25</f>
      </c>
      <c r="N145" s="49">
        <f>M145*L145</f>
      </c>
      <c r="O145" s="49">
        <f>M145*1</f>
      </c>
      <c r="P145" s="49">
        <f>M145*2*0.8</f>
      </c>
      <c r="Q145" s="49">
        <f>P145/70</f>
      </c>
      <c r="R145" s="49">
        <f>Q145*4</f>
      </c>
      <c r="S145" s="13"/>
      <c r="T145" s="13"/>
      <c r="U145" s="13"/>
      <c r="V145" s="18"/>
      <c r="W145" s="13"/>
    </row>
    <row x14ac:dyDescent="0.25" r="146" customHeight="1" ht="18.75">
      <c r="A146" s="46">
        <v>3</v>
      </c>
      <c r="B146" s="47" t="s">
        <v>550</v>
      </c>
      <c r="C146" s="47" t="s">
        <v>562</v>
      </c>
      <c r="D146" s="47" t="s">
        <v>563</v>
      </c>
      <c r="E146" s="47" t="s">
        <v>564</v>
      </c>
      <c r="F146" s="47" t="s">
        <v>565</v>
      </c>
      <c r="G146" s="47" t="s">
        <v>147</v>
      </c>
      <c r="H146" s="48">
        <v>0.8</v>
      </c>
      <c r="I146" s="47" t="s">
        <v>566</v>
      </c>
      <c r="J146" s="47" t="s">
        <v>567</v>
      </c>
      <c r="K146" s="47" t="s">
        <v>26</v>
      </c>
      <c r="L146" s="45">
        <v>3</v>
      </c>
      <c r="M146" s="49">
        <f>H146*10000*0.25</f>
      </c>
      <c r="N146" s="49">
        <f>M146*L146</f>
      </c>
      <c r="O146" s="49">
        <f>M146*L146</f>
      </c>
      <c r="P146" s="49">
        <v>0</v>
      </c>
      <c r="Q146" s="49">
        <f>P146/70</f>
      </c>
      <c r="R146" s="49">
        <f>Q146*4</f>
      </c>
      <c r="S146" s="13"/>
      <c r="T146" s="13"/>
      <c r="U146" s="13"/>
      <c r="V146" s="18"/>
      <c r="W146" s="13"/>
    </row>
    <row x14ac:dyDescent="0.25" r="147" customHeight="1" ht="32.5">
      <c r="A147" s="46">
        <v>4</v>
      </c>
      <c r="B147" s="47" t="s">
        <v>550</v>
      </c>
      <c r="C147" s="47" t="s">
        <v>568</v>
      </c>
      <c r="D147" s="47" t="s">
        <v>569</v>
      </c>
      <c r="E147" s="47" t="s">
        <v>570</v>
      </c>
      <c r="F147" s="47" t="s">
        <v>571</v>
      </c>
      <c r="G147" s="47" t="s">
        <v>30</v>
      </c>
      <c r="H147" s="48">
        <v>0.09</v>
      </c>
      <c r="I147" s="47" t="s">
        <v>572</v>
      </c>
      <c r="J147" s="47" t="s">
        <v>567</v>
      </c>
      <c r="K147" s="47" t="s">
        <v>26</v>
      </c>
      <c r="L147" s="45">
        <v>5</v>
      </c>
      <c r="M147" s="49">
        <f>H147*10000*0.25</f>
      </c>
      <c r="N147" s="49">
        <f>M147*L147</f>
      </c>
      <c r="O147" s="49">
        <f>M147*L147</f>
      </c>
      <c r="P147" s="49">
        <v>0</v>
      </c>
      <c r="Q147" s="49">
        <f>P147/70</f>
      </c>
      <c r="R147" s="49">
        <f>Q147*4</f>
      </c>
      <c r="S147" s="13"/>
      <c r="T147" s="13"/>
      <c r="U147" s="13"/>
      <c r="V147" s="18"/>
      <c r="W147" s="13"/>
    </row>
    <row x14ac:dyDescent="0.25" r="148" customHeight="1" ht="32.5">
      <c r="A148" s="46">
        <v>5</v>
      </c>
      <c r="B148" s="47" t="s">
        <v>550</v>
      </c>
      <c r="C148" s="47" t="s">
        <v>573</v>
      </c>
      <c r="D148" s="47" t="s">
        <v>574</v>
      </c>
      <c r="E148" s="47" t="s">
        <v>575</v>
      </c>
      <c r="F148" s="47" t="s">
        <v>434</v>
      </c>
      <c r="G148" s="47" t="s">
        <v>23</v>
      </c>
      <c r="H148" s="48">
        <v>1.5</v>
      </c>
      <c r="I148" s="47" t="s">
        <v>576</v>
      </c>
      <c r="J148" s="47" t="s">
        <v>25</v>
      </c>
      <c r="K148" s="47" t="s">
        <v>59</v>
      </c>
      <c r="L148" s="45">
        <v>13</v>
      </c>
      <c r="M148" s="49">
        <f>H148*10000*0.25</f>
      </c>
      <c r="N148" s="49">
        <f>M148*L148</f>
      </c>
      <c r="O148" s="49">
        <f>M148*3</f>
      </c>
      <c r="P148" s="49">
        <f>M148*10*0.8</f>
      </c>
      <c r="Q148" s="49">
        <f>P148/70</f>
      </c>
      <c r="R148" s="49">
        <f>Q148*4</f>
      </c>
      <c r="S148" s="13"/>
      <c r="T148" s="13"/>
      <c r="U148" s="13"/>
      <c r="V148" s="18"/>
      <c r="W148" s="13"/>
    </row>
    <row x14ac:dyDescent="0.25" r="149" customHeight="1" ht="32.5">
      <c r="A149" s="46">
        <v>6</v>
      </c>
      <c r="B149" s="47" t="s">
        <v>550</v>
      </c>
      <c r="C149" s="47" t="s">
        <v>577</v>
      </c>
      <c r="D149" s="47" t="s">
        <v>578</v>
      </c>
      <c r="E149" s="47" t="s">
        <v>575</v>
      </c>
      <c r="F149" s="47" t="s">
        <v>434</v>
      </c>
      <c r="G149" s="47" t="s">
        <v>23</v>
      </c>
      <c r="H149" s="48">
        <v>30.7</v>
      </c>
      <c r="I149" s="47" t="s">
        <v>579</v>
      </c>
      <c r="J149" s="47" t="s">
        <v>25</v>
      </c>
      <c r="K149" s="47" t="s">
        <v>59</v>
      </c>
      <c r="L149" s="45">
        <v>10</v>
      </c>
      <c r="M149" s="49">
        <f>H149*10000*0.25</f>
      </c>
      <c r="N149" s="49">
        <f>M149*L149</f>
      </c>
      <c r="O149" s="49">
        <f>M149*2</f>
      </c>
      <c r="P149" s="49">
        <f>M149*8*0.8</f>
      </c>
      <c r="Q149" s="49">
        <f>P149/70</f>
      </c>
      <c r="R149" s="49">
        <f>Q149*4</f>
      </c>
      <c r="S149" s="13"/>
      <c r="T149" s="13"/>
      <c r="U149" s="13"/>
      <c r="V149" s="18"/>
      <c r="W149" s="13"/>
    </row>
    <row x14ac:dyDescent="0.25" r="150" customHeight="1" ht="18.75">
      <c r="A150" s="46">
        <v>7</v>
      </c>
      <c r="B150" s="47" t="s">
        <v>550</v>
      </c>
      <c r="C150" s="47" t="s">
        <v>580</v>
      </c>
      <c r="D150" s="47" t="s">
        <v>581</v>
      </c>
      <c r="E150" s="47" t="s">
        <v>575</v>
      </c>
      <c r="F150" s="47" t="s">
        <v>434</v>
      </c>
      <c r="G150" s="47" t="s">
        <v>23</v>
      </c>
      <c r="H150" s="48">
        <v>23.73</v>
      </c>
      <c r="I150" s="47" t="s">
        <v>582</v>
      </c>
      <c r="J150" s="47" t="s">
        <v>25</v>
      </c>
      <c r="K150" s="47" t="s">
        <v>59</v>
      </c>
      <c r="L150" s="45">
        <v>7</v>
      </c>
      <c r="M150" s="49">
        <f>H150*10000*0.25</f>
      </c>
      <c r="N150" s="49">
        <f>M150*L150</f>
      </c>
      <c r="O150" s="49">
        <f>M150*2</f>
      </c>
      <c r="P150" s="49">
        <f>M150*6*0.8</f>
      </c>
      <c r="Q150" s="49">
        <f>P150/70</f>
      </c>
      <c r="R150" s="49">
        <f>Q150*4</f>
      </c>
      <c r="S150" s="13"/>
      <c r="T150" s="13"/>
      <c r="U150" s="13"/>
      <c r="V150" s="18"/>
      <c r="W150" s="13"/>
    </row>
    <row x14ac:dyDescent="0.25" r="151" customHeight="1" ht="32.5">
      <c r="A151" s="46">
        <v>8</v>
      </c>
      <c r="B151" s="47" t="s">
        <v>550</v>
      </c>
      <c r="C151" s="47" t="s">
        <v>583</v>
      </c>
      <c r="D151" s="47" t="s">
        <v>584</v>
      </c>
      <c r="E151" s="47" t="s">
        <v>575</v>
      </c>
      <c r="F151" s="47" t="s">
        <v>434</v>
      </c>
      <c r="G151" s="47" t="s">
        <v>23</v>
      </c>
      <c r="H151" s="46">
        <v>22</v>
      </c>
      <c r="I151" s="47" t="s">
        <v>585</v>
      </c>
      <c r="J151" s="47" t="s">
        <v>25</v>
      </c>
      <c r="K151" s="47" t="s">
        <v>59</v>
      </c>
      <c r="L151" s="45">
        <v>8</v>
      </c>
      <c r="M151" s="49">
        <f>H151*10000*0.25</f>
      </c>
      <c r="N151" s="49">
        <f>M151*L151</f>
      </c>
      <c r="O151" s="49">
        <f>M151*2</f>
      </c>
      <c r="P151" s="49">
        <f>M151*6*0.8</f>
      </c>
      <c r="Q151" s="49">
        <f>P151/70</f>
      </c>
      <c r="R151" s="49">
        <f>Q151*4</f>
      </c>
      <c r="S151" s="13"/>
      <c r="T151" s="13"/>
      <c r="U151" s="13"/>
      <c r="V151" s="18"/>
      <c r="W151" s="13"/>
    </row>
    <row x14ac:dyDescent="0.25" r="152" customHeight="1" ht="32.5">
      <c r="A152" s="46">
        <v>9</v>
      </c>
      <c r="B152" s="47" t="s">
        <v>550</v>
      </c>
      <c r="C152" s="47" t="s">
        <v>586</v>
      </c>
      <c r="D152" s="47" t="s">
        <v>587</v>
      </c>
      <c r="E152" s="47" t="s">
        <v>575</v>
      </c>
      <c r="F152" s="47" t="s">
        <v>434</v>
      </c>
      <c r="G152" s="47" t="s">
        <v>23</v>
      </c>
      <c r="H152" s="48">
        <v>3.7</v>
      </c>
      <c r="I152" s="47" t="s">
        <v>588</v>
      </c>
      <c r="J152" s="47" t="s">
        <v>25</v>
      </c>
      <c r="K152" s="47" t="s">
        <v>59</v>
      </c>
      <c r="L152" s="45">
        <v>13</v>
      </c>
      <c r="M152" s="49">
        <f>H152*10000*0.25</f>
      </c>
      <c r="N152" s="49">
        <f>M152*L152</f>
      </c>
      <c r="O152" s="49">
        <f>M152*3</f>
      </c>
      <c r="P152" s="49">
        <f>M152*10*0.8</f>
      </c>
      <c r="Q152" s="49">
        <f>P152/70</f>
      </c>
      <c r="R152" s="49">
        <f>Q152*4</f>
      </c>
      <c r="S152" s="13"/>
      <c r="T152" s="13"/>
      <c r="U152" s="13"/>
      <c r="V152" s="18"/>
      <c r="W152" s="13"/>
    </row>
    <row x14ac:dyDescent="0.25" r="153" customHeight="1" ht="32.5">
      <c r="A153" s="46">
        <v>10</v>
      </c>
      <c r="B153" s="47" t="s">
        <v>550</v>
      </c>
      <c r="C153" s="47" t="s">
        <v>589</v>
      </c>
      <c r="D153" s="47" t="s">
        <v>590</v>
      </c>
      <c r="E153" s="47" t="s">
        <v>575</v>
      </c>
      <c r="F153" s="47" t="s">
        <v>434</v>
      </c>
      <c r="G153" s="47" t="s">
        <v>23</v>
      </c>
      <c r="H153" s="48">
        <v>5.4</v>
      </c>
      <c r="I153" s="47" t="s">
        <v>591</v>
      </c>
      <c r="J153" s="50" t="s">
        <v>32</v>
      </c>
      <c r="K153" s="50" t="s">
        <v>59</v>
      </c>
      <c r="L153" s="45">
        <v>10</v>
      </c>
      <c r="M153" s="49">
        <f>H153*10000*0.25</f>
      </c>
      <c r="N153" s="49">
        <f>M153*L153</f>
      </c>
      <c r="O153" s="49">
        <f>M153*2</f>
      </c>
      <c r="P153" s="49">
        <f>M153*8*0.8</f>
      </c>
      <c r="Q153" s="49">
        <f>P153/70</f>
      </c>
      <c r="R153" s="49">
        <f>Q153*4</f>
      </c>
      <c r="S153" s="13"/>
      <c r="T153" s="13"/>
      <c r="U153" s="13"/>
      <c r="V153" s="18"/>
      <c r="W153" s="13"/>
    </row>
    <row x14ac:dyDescent="0.25" r="154" customHeight="1" ht="32.5">
      <c r="A154" s="46">
        <v>11</v>
      </c>
      <c r="B154" s="47" t="s">
        <v>550</v>
      </c>
      <c r="C154" s="47" t="s">
        <v>592</v>
      </c>
      <c r="D154" s="47" t="s">
        <v>593</v>
      </c>
      <c r="E154" s="47" t="s">
        <v>575</v>
      </c>
      <c r="F154" s="47" t="s">
        <v>434</v>
      </c>
      <c r="G154" s="47" t="s">
        <v>23</v>
      </c>
      <c r="H154" s="48">
        <v>2.25</v>
      </c>
      <c r="I154" s="47" t="s">
        <v>594</v>
      </c>
      <c r="J154" s="50" t="s">
        <v>32</v>
      </c>
      <c r="K154" s="50" t="s">
        <v>59</v>
      </c>
      <c r="L154" s="45">
        <v>8</v>
      </c>
      <c r="M154" s="49">
        <f>H154*10000*0.25</f>
      </c>
      <c r="N154" s="49">
        <f>M154*L154</f>
      </c>
      <c r="O154" s="49">
        <f>M154*2</f>
      </c>
      <c r="P154" s="49">
        <f>M154*6*0.8</f>
      </c>
      <c r="Q154" s="49">
        <f>P154/70</f>
      </c>
      <c r="R154" s="49">
        <f>Q154*4</f>
      </c>
      <c r="S154" s="13"/>
      <c r="T154" s="13"/>
      <c r="U154" s="13"/>
      <c r="V154" s="18"/>
      <c r="W154" s="13"/>
    </row>
    <row x14ac:dyDescent="0.25" r="155" customHeight="1" ht="32.5">
      <c r="A155" s="46">
        <v>12</v>
      </c>
      <c r="B155" s="47" t="s">
        <v>550</v>
      </c>
      <c r="C155" s="47" t="s">
        <v>595</v>
      </c>
      <c r="D155" s="47" t="s">
        <v>596</v>
      </c>
      <c r="E155" s="47" t="s">
        <v>575</v>
      </c>
      <c r="F155" s="47" t="s">
        <v>434</v>
      </c>
      <c r="G155" s="47" t="s">
        <v>23</v>
      </c>
      <c r="H155" s="48">
        <v>1.15</v>
      </c>
      <c r="I155" s="47" t="s">
        <v>597</v>
      </c>
      <c r="J155" s="50" t="s">
        <v>32</v>
      </c>
      <c r="K155" s="50" t="s">
        <v>59</v>
      </c>
      <c r="L155" s="45">
        <v>8</v>
      </c>
      <c r="M155" s="49">
        <f>H155*10000*0.25</f>
      </c>
      <c r="N155" s="49">
        <f>M155*L155</f>
      </c>
      <c r="O155" s="49">
        <f>M155*2</f>
      </c>
      <c r="P155" s="49">
        <f>M155*6*0.8</f>
      </c>
      <c r="Q155" s="49">
        <f>P155/70</f>
      </c>
      <c r="R155" s="49">
        <f>Q155*4</f>
      </c>
      <c r="S155" s="13"/>
      <c r="T155" s="13"/>
      <c r="U155" s="13"/>
      <c r="V155" s="18"/>
      <c r="W155" s="13"/>
    </row>
    <row x14ac:dyDescent="0.25" r="156" customHeight="1" ht="32.5">
      <c r="A156" s="46">
        <v>13</v>
      </c>
      <c r="B156" s="47" t="s">
        <v>550</v>
      </c>
      <c r="C156" s="47" t="s">
        <v>598</v>
      </c>
      <c r="D156" s="47" t="s">
        <v>584</v>
      </c>
      <c r="E156" s="47" t="s">
        <v>377</v>
      </c>
      <c r="F156" s="47" t="s">
        <v>599</v>
      </c>
      <c r="G156" s="47" t="s">
        <v>30</v>
      </c>
      <c r="H156" s="48">
        <v>5.1</v>
      </c>
      <c r="I156" s="47" t="s">
        <v>600</v>
      </c>
      <c r="J156" s="50" t="s">
        <v>567</v>
      </c>
      <c r="K156" s="50" t="s">
        <v>59</v>
      </c>
      <c r="L156" s="45">
        <v>10</v>
      </c>
      <c r="M156" s="49">
        <f>H156*10000*0.25</f>
      </c>
      <c r="N156" s="49">
        <f>M156*L156</f>
      </c>
      <c r="O156" s="49">
        <f>M156*L156</f>
      </c>
      <c r="P156" s="49">
        <v>0</v>
      </c>
      <c r="Q156" s="49">
        <f>P156/70</f>
      </c>
      <c r="R156" s="49">
        <f>Q156*4</f>
      </c>
      <c r="S156" s="13"/>
      <c r="T156" s="13"/>
      <c r="U156" s="13"/>
      <c r="V156" s="18"/>
      <c r="W156" s="13"/>
    </row>
    <row x14ac:dyDescent="0.25" r="157" customHeight="1" ht="32.5">
      <c r="A157" s="46">
        <v>14</v>
      </c>
      <c r="B157" s="47" t="s">
        <v>550</v>
      </c>
      <c r="C157" s="47" t="s">
        <v>601</v>
      </c>
      <c r="D157" s="47" t="s">
        <v>602</v>
      </c>
      <c r="E157" s="47" t="s">
        <v>575</v>
      </c>
      <c r="F157" s="47" t="s">
        <v>603</v>
      </c>
      <c r="G157" s="47" t="s">
        <v>23</v>
      </c>
      <c r="H157" s="46">
        <v>12</v>
      </c>
      <c r="I157" s="47" t="s">
        <v>604</v>
      </c>
      <c r="J157" s="50" t="s">
        <v>32</v>
      </c>
      <c r="K157" s="50" t="s">
        <v>59</v>
      </c>
      <c r="L157" s="45">
        <v>10</v>
      </c>
      <c r="M157" s="49">
        <f>H157*10000*0.25</f>
      </c>
      <c r="N157" s="49">
        <f>M157*L157</f>
      </c>
      <c r="O157" s="49">
        <f>M157*3</f>
      </c>
      <c r="P157" s="49">
        <f>M157*8*0.8</f>
      </c>
      <c r="Q157" s="49">
        <f>P157/70</f>
      </c>
      <c r="R157" s="49">
        <f>Q157*4</f>
      </c>
      <c r="S157" s="13"/>
      <c r="T157" s="13"/>
      <c r="U157" s="13"/>
      <c r="V157" s="18"/>
      <c r="W157" s="13"/>
    </row>
    <row x14ac:dyDescent="0.25" r="158" customHeight="1" ht="32.5">
      <c r="A158" s="46">
        <v>15</v>
      </c>
      <c r="B158" s="47" t="s">
        <v>550</v>
      </c>
      <c r="C158" s="47" t="s">
        <v>605</v>
      </c>
      <c r="D158" s="47" t="s">
        <v>584</v>
      </c>
      <c r="E158" s="47" t="s">
        <v>575</v>
      </c>
      <c r="F158" s="47" t="s">
        <v>434</v>
      </c>
      <c r="G158" s="47" t="s">
        <v>23</v>
      </c>
      <c r="H158" s="48">
        <v>15.5</v>
      </c>
      <c r="I158" s="51" t="s">
        <v>606</v>
      </c>
      <c r="J158" s="50" t="s">
        <v>25</v>
      </c>
      <c r="K158" s="50" t="s">
        <v>59</v>
      </c>
      <c r="L158" s="45">
        <v>10</v>
      </c>
      <c r="M158" s="49">
        <f>H158*10000*0.25</f>
      </c>
      <c r="N158" s="49">
        <f>M158*L158</f>
      </c>
      <c r="O158" s="49">
        <f>M158*3</f>
      </c>
      <c r="P158" s="49">
        <f>M158*8*0.8</f>
      </c>
      <c r="Q158" s="49">
        <f>P158/70</f>
      </c>
      <c r="R158" s="49">
        <f>Q158*4</f>
      </c>
      <c r="S158" s="13"/>
      <c r="T158" s="13"/>
      <c r="U158" s="13"/>
      <c r="V158" s="18"/>
      <c r="W158" s="13"/>
    </row>
    <row x14ac:dyDescent="0.25" r="159" customHeight="1" ht="32.5">
      <c r="A159" s="46">
        <v>16</v>
      </c>
      <c r="B159" s="47" t="s">
        <v>550</v>
      </c>
      <c r="C159" s="47" t="s">
        <v>607</v>
      </c>
      <c r="D159" s="47" t="s">
        <v>590</v>
      </c>
      <c r="E159" s="47" t="s">
        <v>575</v>
      </c>
      <c r="F159" s="47" t="s">
        <v>434</v>
      </c>
      <c r="G159" s="47" t="s">
        <v>23</v>
      </c>
      <c r="H159" s="48">
        <v>3.8</v>
      </c>
      <c r="I159" s="47" t="s">
        <v>608</v>
      </c>
      <c r="J159" s="50" t="s">
        <v>25</v>
      </c>
      <c r="K159" s="50" t="s">
        <v>59</v>
      </c>
      <c r="L159" s="45">
        <v>13</v>
      </c>
      <c r="M159" s="49">
        <f>H159*10000*0.25</f>
      </c>
      <c r="N159" s="49">
        <f>M159*L159</f>
      </c>
      <c r="O159" s="49">
        <f>M159*3</f>
      </c>
      <c r="P159" s="49">
        <f>M159*10*0.8</f>
      </c>
      <c r="Q159" s="49">
        <f>P159/70</f>
      </c>
      <c r="R159" s="49">
        <f>Q159*4</f>
      </c>
      <c r="S159" s="13"/>
      <c r="T159" s="13"/>
      <c r="U159" s="13"/>
      <c r="V159" s="18"/>
      <c r="W159" s="13"/>
    </row>
    <row x14ac:dyDescent="0.25" r="160" customHeight="1" ht="32.5">
      <c r="A160" s="46">
        <v>17</v>
      </c>
      <c r="B160" s="47" t="s">
        <v>550</v>
      </c>
      <c r="C160" s="47" t="s">
        <v>609</v>
      </c>
      <c r="D160" s="47" t="s">
        <v>610</v>
      </c>
      <c r="E160" s="47" t="s">
        <v>611</v>
      </c>
      <c r="F160" s="47" t="s">
        <v>612</v>
      </c>
      <c r="G160" s="47" t="s">
        <v>23</v>
      </c>
      <c r="H160" s="48">
        <v>0.65</v>
      </c>
      <c r="I160" s="47" t="s">
        <v>613</v>
      </c>
      <c r="J160" s="50" t="s">
        <v>32</v>
      </c>
      <c r="K160" s="50" t="s">
        <v>48</v>
      </c>
      <c r="L160" s="45">
        <v>20</v>
      </c>
      <c r="M160" s="49">
        <f>H160*10000*0.25</f>
      </c>
      <c r="N160" s="49">
        <f>M160*L160</f>
      </c>
      <c r="O160" s="49">
        <f>M160*7</f>
      </c>
      <c r="P160" s="49">
        <f>M160*13*0.8</f>
      </c>
      <c r="Q160" s="49">
        <f>P160/70</f>
      </c>
      <c r="R160" s="49">
        <f>Q160*4</f>
      </c>
      <c r="S160" s="13"/>
      <c r="T160" s="13"/>
      <c r="U160" s="13"/>
      <c r="V160" s="18"/>
      <c r="W160" s="13"/>
    </row>
    <row x14ac:dyDescent="0.25" r="161" customHeight="1" ht="32.5">
      <c r="A161" s="46">
        <v>18</v>
      </c>
      <c r="B161" s="47" t="s">
        <v>550</v>
      </c>
      <c r="C161" s="47" t="s">
        <v>614</v>
      </c>
      <c r="D161" s="47" t="s">
        <v>615</v>
      </c>
      <c r="E161" s="47" t="s">
        <v>377</v>
      </c>
      <c r="F161" s="47" t="s">
        <v>616</v>
      </c>
      <c r="G161" s="47" t="s">
        <v>241</v>
      </c>
      <c r="H161" s="46">
        <v>1</v>
      </c>
      <c r="I161" s="47" t="s">
        <v>617</v>
      </c>
      <c r="J161" s="50" t="s">
        <v>567</v>
      </c>
      <c r="K161" s="50" t="s">
        <v>48</v>
      </c>
      <c r="L161" s="45">
        <v>10</v>
      </c>
      <c r="M161" s="49">
        <v>0</v>
      </c>
      <c r="N161" s="49">
        <f>M161*L161</f>
      </c>
      <c r="O161" s="49">
        <f>M161*2</f>
      </c>
      <c r="P161" s="49">
        <f>M161*8*0.8</f>
      </c>
      <c r="Q161" s="49">
        <f>P161/70</f>
      </c>
      <c r="R161" s="49">
        <f>Q161*4</f>
      </c>
      <c r="S161" s="13"/>
      <c r="T161" s="13"/>
      <c r="U161" s="13"/>
      <c r="V161" s="18"/>
      <c r="W161" s="13"/>
    </row>
    <row x14ac:dyDescent="0.25" r="162" customHeight="1" ht="32.5">
      <c r="A162" s="46">
        <v>19</v>
      </c>
      <c r="B162" s="47" t="s">
        <v>550</v>
      </c>
      <c r="C162" s="47" t="s">
        <v>618</v>
      </c>
      <c r="D162" s="47" t="s">
        <v>619</v>
      </c>
      <c r="E162" s="47" t="s">
        <v>377</v>
      </c>
      <c r="F162" s="47" t="s">
        <v>434</v>
      </c>
      <c r="G162" s="47" t="s">
        <v>23</v>
      </c>
      <c r="H162" s="48">
        <v>26.2</v>
      </c>
      <c r="I162" s="47" t="s">
        <v>620</v>
      </c>
      <c r="J162" s="50" t="s">
        <v>25</v>
      </c>
      <c r="K162" s="50" t="s">
        <v>48</v>
      </c>
      <c r="L162" s="17">
        <v>10</v>
      </c>
      <c r="M162" s="49">
        <f>H162*10000*0.25</f>
      </c>
      <c r="N162" s="49">
        <f>M162*L162</f>
      </c>
      <c r="O162" s="49">
        <f>M162*2</f>
      </c>
      <c r="P162" s="49">
        <f>M162*8*0.8</f>
      </c>
      <c r="Q162" s="49">
        <f>P162/70</f>
      </c>
      <c r="R162" s="49">
        <f>Q162*4</f>
      </c>
      <c r="S162" s="13"/>
      <c r="T162" s="13"/>
      <c r="U162" s="13"/>
      <c r="V162" s="18"/>
      <c r="W162" s="13"/>
    </row>
    <row x14ac:dyDescent="0.25" r="163" customHeight="1" ht="32.5">
      <c r="A163" s="46">
        <v>20</v>
      </c>
      <c r="B163" s="47" t="s">
        <v>550</v>
      </c>
      <c r="C163" s="47" t="s">
        <v>621</v>
      </c>
      <c r="D163" s="47" t="s">
        <v>552</v>
      </c>
      <c r="E163" s="47" t="s">
        <v>622</v>
      </c>
      <c r="F163" s="47" t="s">
        <v>623</v>
      </c>
      <c r="G163" s="47" t="s">
        <v>241</v>
      </c>
      <c r="H163" s="48">
        <v>3.2</v>
      </c>
      <c r="I163" s="47" t="s">
        <v>624</v>
      </c>
      <c r="J163" s="50" t="s">
        <v>567</v>
      </c>
      <c r="K163" s="50" t="s">
        <v>26</v>
      </c>
      <c r="L163" s="45">
        <v>4</v>
      </c>
      <c r="M163" s="49">
        <v>0</v>
      </c>
      <c r="N163" s="49">
        <f>M163*L163</f>
      </c>
      <c r="O163" s="49">
        <f>M163*2</f>
      </c>
      <c r="P163" s="49">
        <f>M163*8*0.8</f>
      </c>
      <c r="Q163" s="49">
        <f>P163/70</f>
      </c>
      <c r="R163" s="49">
        <f>Q163*4</f>
      </c>
      <c r="S163" s="13"/>
      <c r="T163" s="13"/>
      <c r="U163" s="13"/>
      <c r="V163" s="18"/>
      <c r="W163" s="13"/>
    </row>
    <row x14ac:dyDescent="0.25" r="164" customHeight="1" ht="32.5">
      <c r="A164" s="46">
        <v>21</v>
      </c>
      <c r="B164" s="47" t="s">
        <v>550</v>
      </c>
      <c r="C164" s="47" t="s">
        <v>625</v>
      </c>
      <c r="D164" s="47" t="s">
        <v>552</v>
      </c>
      <c r="E164" s="47" t="s">
        <v>553</v>
      </c>
      <c r="F164" s="47" t="s">
        <v>554</v>
      </c>
      <c r="G164" s="47" t="s">
        <v>30</v>
      </c>
      <c r="H164" s="48">
        <v>0.17</v>
      </c>
      <c r="I164" s="47" t="s">
        <v>626</v>
      </c>
      <c r="J164" s="50" t="s">
        <v>567</v>
      </c>
      <c r="K164" s="50" t="s">
        <v>26</v>
      </c>
      <c r="L164" s="45">
        <v>3</v>
      </c>
      <c r="M164" s="49">
        <f>H164*10000*0.25</f>
      </c>
      <c r="N164" s="49">
        <f>M164*L164</f>
      </c>
      <c r="O164" s="49">
        <f>M164*L164</f>
      </c>
      <c r="P164" s="49">
        <v>0</v>
      </c>
      <c r="Q164" s="49">
        <f>P164/70</f>
      </c>
      <c r="R164" s="49">
        <f>Q164*4</f>
      </c>
      <c r="S164" s="13"/>
      <c r="T164" s="13"/>
      <c r="U164" s="13"/>
      <c r="V164" s="18"/>
      <c r="W164" s="13"/>
    </row>
    <row x14ac:dyDescent="0.25" r="165" customHeight="1" ht="32.5">
      <c r="A165" s="46">
        <v>22</v>
      </c>
      <c r="B165" s="47" t="s">
        <v>550</v>
      </c>
      <c r="C165" s="47" t="s">
        <v>627</v>
      </c>
      <c r="D165" s="47" t="s">
        <v>552</v>
      </c>
      <c r="E165" s="47" t="s">
        <v>570</v>
      </c>
      <c r="F165" s="47" t="s">
        <v>628</v>
      </c>
      <c r="G165" s="47" t="s">
        <v>23</v>
      </c>
      <c r="H165" s="48">
        <v>0.67</v>
      </c>
      <c r="I165" s="47" t="s">
        <v>629</v>
      </c>
      <c r="J165" s="50" t="s">
        <v>32</v>
      </c>
      <c r="K165" s="50" t="s">
        <v>59</v>
      </c>
      <c r="L165" s="45">
        <v>5</v>
      </c>
      <c r="M165" s="49">
        <f>H165*10000*0.25</f>
      </c>
      <c r="N165" s="49">
        <f>M165*L165</f>
      </c>
      <c r="O165" s="49">
        <f>M165*1</f>
      </c>
      <c r="P165" s="49">
        <f>M165*5*0.8</f>
      </c>
      <c r="Q165" s="49">
        <f>P165/70</f>
      </c>
      <c r="R165" s="49">
        <f>Q165*4</f>
      </c>
      <c r="S165" s="13"/>
      <c r="T165" s="13"/>
      <c r="U165" s="13"/>
      <c r="V165" s="18"/>
      <c r="W165" s="13"/>
    </row>
    <row x14ac:dyDescent="0.25" r="166" customHeight="1" ht="32.5">
      <c r="A166" s="46">
        <v>23</v>
      </c>
      <c r="B166" s="47" t="s">
        <v>550</v>
      </c>
      <c r="C166" s="47" t="s">
        <v>609</v>
      </c>
      <c r="D166" s="47" t="s">
        <v>630</v>
      </c>
      <c r="E166" s="47" t="s">
        <v>631</v>
      </c>
      <c r="F166" s="47" t="s">
        <v>632</v>
      </c>
      <c r="G166" s="47" t="s">
        <v>23</v>
      </c>
      <c r="H166" s="48">
        <v>1.1</v>
      </c>
      <c r="I166" s="47" t="s">
        <v>633</v>
      </c>
      <c r="J166" s="50" t="s">
        <v>25</v>
      </c>
      <c r="K166" s="50" t="s">
        <v>48</v>
      </c>
      <c r="L166" s="45">
        <v>30</v>
      </c>
      <c r="M166" s="49">
        <f>H166*10000*0.25</f>
      </c>
      <c r="N166" s="49">
        <f>M166*L166</f>
      </c>
      <c r="O166" s="49">
        <f>M166*12</f>
      </c>
      <c r="P166" s="49">
        <f>M166*18*0.8</f>
      </c>
      <c r="Q166" s="49">
        <f>P166/70</f>
      </c>
      <c r="R166" s="49">
        <f>Q166*4</f>
      </c>
      <c r="S166" s="13"/>
      <c r="T166" s="13"/>
      <c r="U166" s="13"/>
      <c r="V166" s="18"/>
      <c r="W166" s="13"/>
    </row>
    <row x14ac:dyDescent="0.25" r="167" customHeight="1" ht="32.5">
      <c r="A167" s="46">
        <v>24</v>
      </c>
      <c r="B167" s="47" t="s">
        <v>550</v>
      </c>
      <c r="C167" s="47" t="s">
        <v>634</v>
      </c>
      <c r="D167" s="47" t="s">
        <v>584</v>
      </c>
      <c r="E167" s="47" t="s">
        <v>377</v>
      </c>
      <c r="F167" s="47" t="s">
        <v>434</v>
      </c>
      <c r="G167" s="47" t="s">
        <v>23</v>
      </c>
      <c r="H167" s="48">
        <v>37.2</v>
      </c>
      <c r="I167" s="47" t="s">
        <v>635</v>
      </c>
      <c r="J167" s="50" t="s">
        <v>25</v>
      </c>
      <c r="K167" s="50" t="s">
        <v>48</v>
      </c>
      <c r="L167" s="45">
        <v>10</v>
      </c>
      <c r="M167" s="49">
        <f>H167*10000*0.25</f>
      </c>
      <c r="N167" s="49">
        <f>M167*L167</f>
      </c>
      <c r="O167" s="49">
        <f>M167*2</f>
      </c>
      <c r="P167" s="49">
        <f>M167*8*0.8</f>
      </c>
      <c r="Q167" s="49">
        <f>P167/70</f>
      </c>
      <c r="R167" s="49">
        <f>Q167*4</f>
      </c>
      <c r="S167" s="13"/>
      <c r="T167" s="13"/>
      <c r="U167" s="13"/>
      <c r="V167" s="18"/>
      <c r="W167" s="13"/>
    </row>
    <row x14ac:dyDescent="0.25" r="168" customHeight="1" ht="32.5">
      <c r="A168" s="46">
        <v>25</v>
      </c>
      <c r="B168" s="47" t="s">
        <v>550</v>
      </c>
      <c r="C168" s="47" t="s">
        <v>636</v>
      </c>
      <c r="D168" s="47" t="s">
        <v>602</v>
      </c>
      <c r="E168" s="47" t="s">
        <v>377</v>
      </c>
      <c r="F168" s="47" t="s">
        <v>434</v>
      </c>
      <c r="G168" s="47" t="s">
        <v>23</v>
      </c>
      <c r="H168" s="48">
        <v>16.9</v>
      </c>
      <c r="I168" s="47" t="s">
        <v>637</v>
      </c>
      <c r="J168" s="50" t="s">
        <v>32</v>
      </c>
      <c r="K168" s="50" t="s">
        <v>48</v>
      </c>
      <c r="L168" s="45">
        <v>12</v>
      </c>
      <c r="M168" s="49">
        <f>H168*10000*0.25</f>
      </c>
      <c r="N168" s="49">
        <f>M168*L168</f>
      </c>
      <c r="O168" s="49">
        <f>M168*2</f>
      </c>
      <c r="P168" s="49">
        <f>M168*10*0.8</f>
      </c>
      <c r="Q168" s="49">
        <f>P168/70</f>
      </c>
      <c r="R168" s="49">
        <f>Q168*4</f>
      </c>
      <c r="S168" s="13"/>
      <c r="T168" s="13"/>
      <c r="U168" s="13"/>
      <c r="V168" s="18"/>
      <c r="W168" s="13"/>
    </row>
    <row x14ac:dyDescent="0.25" r="169" customHeight="1" ht="32.5">
      <c r="A169" s="46">
        <v>26</v>
      </c>
      <c r="B169" s="47" t="s">
        <v>550</v>
      </c>
      <c r="C169" s="47" t="s">
        <v>638</v>
      </c>
      <c r="D169" s="47" t="s">
        <v>590</v>
      </c>
      <c r="E169" s="47" t="s">
        <v>575</v>
      </c>
      <c r="F169" s="47" t="s">
        <v>434</v>
      </c>
      <c r="G169" s="47" t="s">
        <v>23</v>
      </c>
      <c r="H169" s="48">
        <v>29.5</v>
      </c>
      <c r="I169" s="47" t="s">
        <v>639</v>
      </c>
      <c r="J169" s="50" t="s">
        <v>25</v>
      </c>
      <c r="K169" s="50" t="s">
        <v>59</v>
      </c>
      <c r="L169" s="45">
        <v>8</v>
      </c>
      <c r="M169" s="49">
        <f>H169*10000*0.25</f>
      </c>
      <c r="N169" s="49">
        <f>M169*L169</f>
      </c>
      <c r="O169" s="49">
        <f>M169*2</f>
      </c>
      <c r="P169" s="49">
        <f>M169*6*0.8</f>
      </c>
      <c r="Q169" s="49">
        <f>P169/70</f>
      </c>
      <c r="R169" s="49">
        <f>Q169*4</f>
      </c>
      <c r="S169" s="13"/>
      <c r="T169" s="13"/>
      <c r="U169" s="13"/>
      <c r="V169" s="18"/>
      <c r="W169" s="13"/>
    </row>
    <row x14ac:dyDescent="0.25" r="170" customHeight="1" ht="18.75">
      <c r="A170" s="46">
        <v>27</v>
      </c>
      <c r="B170" s="47" t="s">
        <v>550</v>
      </c>
      <c r="C170" s="47" t="s">
        <v>640</v>
      </c>
      <c r="D170" s="47" t="s">
        <v>602</v>
      </c>
      <c r="E170" s="47" t="s">
        <v>641</v>
      </c>
      <c r="F170" s="47" t="s">
        <v>642</v>
      </c>
      <c r="G170" s="47" t="s">
        <v>643</v>
      </c>
      <c r="H170" s="48">
        <v>0.5</v>
      </c>
      <c r="I170" s="47" t="s">
        <v>644</v>
      </c>
      <c r="J170" s="50" t="s">
        <v>567</v>
      </c>
      <c r="K170" s="50" t="s">
        <v>48</v>
      </c>
      <c r="L170" s="45">
        <v>12</v>
      </c>
      <c r="M170" s="49">
        <f>H170*10000*0.25</f>
      </c>
      <c r="N170" s="49">
        <f>M170*L170</f>
      </c>
      <c r="O170" s="49">
        <f>M170*L170</f>
      </c>
      <c r="P170" s="49">
        <v>0</v>
      </c>
      <c r="Q170" s="49">
        <f>P170/70</f>
      </c>
      <c r="R170" s="49">
        <f>Q170*4</f>
      </c>
      <c r="S170" s="13"/>
      <c r="T170" s="13"/>
      <c r="U170" s="13"/>
      <c r="V170" s="18"/>
      <c r="W170" s="13"/>
    </row>
    <row x14ac:dyDescent="0.25" r="171" customHeight="1" ht="18.75">
      <c r="A171" s="46">
        <v>28</v>
      </c>
      <c r="B171" s="47" t="s">
        <v>550</v>
      </c>
      <c r="C171" s="47" t="s">
        <v>645</v>
      </c>
      <c r="D171" s="47" t="s">
        <v>615</v>
      </c>
      <c r="E171" s="47" t="s">
        <v>377</v>
      </c>
      <c r="F171" s="47" t="s">
        <v>646</v>
      </c>
      <c r="G171" s="47" t="s">
        <v>23</v>
      </c>
      <c r="H171" s="48">
        <v>1.3</v>
      </c>
      <c r="I171" s="47" t="s">
        <v>647</v>
      </c>
      <c r="J171" s="50" t="s">
        <v>25</v>
      </c>
      <c r="K171" s="50" t="s">
        <v>59</v>
      </c>
      <c r="L171" s="45">
        <v>13</v>
      </c>
      <c r="M171" s="49">
        <f>H171*10000*0.25</f>
      </c>
      <c r="N171" s="49">
        <f>M171*L171</f>
      </c>
      <c r="O171" s="49">
        <f>M171*3</f>
      </c>
      <c r="P171" s="49">
        <f>M171*10*0.8</f>
      </c>
      <c r="Q171" s="49">
        <f>P171/70</f>
      </c>
      <c r="R171" s="49">
        <f>Q171*4</f>
      </c>
      <c r="S171" s="13"/>
      <c r="T171" s="13"/>
      <c r="U171" s="13"/>
      <c r="V171" s="18"/>
      <c r="W171" s="13"/>
    </row>
    <row x14ac:dyDescent="0.25" r="172" customHeight="1" ht="18.75">
      <c r="A172" s="46">
        <v>29</v>
      </c>
      <c r="B172" s="47" t="s">
        <v>550</v>
      </c>
      <c r="C172" s="47" t="s">
        <v>648</v>
      </c>
      <c r="D172" s="47" t="s">
        <v>649</v>
      </c>
      <c r="E172" s="47" t="s">
        <v>575</v>
      </c>
      <c r="F172" s="47" t="s">
        <v>434</v>
      </c>
      <c r="G172" s="47" t="s">
        <v>23</v>
      </c>
      <c r="H172" s="48">
        <v>83.45</v>
      </c>
      <c r="I172" s="47" t="s">
        <v>650</v>
      </c>
      <c r="J172" s="50" t="s">
        <v>25</v>
      </c>
      <c r="K172" s="50" t="s">
        <v>59</v>
      </c>
      <c r="L172" s="45">
        <v>12</v>
      </c>
      <c r="M172" s="49">
        <f>H172*10000*0.25</f>
      </c>
      <c r="N172" s="49">
        <f>M172*L172</f>
      </c>
      <c r="O172" s="49">
        <f>M172*2</f>
      </c>
      <c r="P172" s="49">
        <f>M172*10*0.8</f>
      </c>
      <c r="Q172" s="49">
        <f>P172/70</f>
      </c>
      <c r="R172" s="49">
        <f>Q172*4</f>
      </c>
      <c r="S172" s="13"/>
      <c r="T172" s="13"/>
      <c r="U172" s="13"/>
      <c r="V172" s="18"/>
      <c r="W172" s="13"/>
    </row>
    <row x14ac:dyDescent="0.25" r="173" customHeight="1" ht="32.5">
      <c r="A173" s="46">
        <v>30</v>
      </c>
      <c r="B173" s="47" t="s">
        <v>550</v>
      </c>
      <c r="C173" s="47" t="s">
        <v>651</v>
      </c>
      <c r="D173" s="47" t="s">
        <v>652</v>
      </c>
      <c r="E173" s="47" t="s">
        <v>377</v>
      </c>
      <c r="F173" s="47" t="s">
        <v>434</v>
      </c>
      <c r="G173" s="47" t="s">
        <v>23</v>
      </c>
      <c r="H173" s="48">
        <v>3.2</v>
      </c>
      <c r="I173" s="47" t="s">
        <v>653</v>
      </c>
      <c r="J173" s="50" t="s">
        <v>25</v>
      </c>
      <c r="K173" s="50" t="s">
        <v>48</v>
      </c>
      <c r="L173" s="45">
        <v>13</v>
      </c>
      <c r="M173" s="49">
        <f>H173*10000*0.25</f>
      </c>
      <c r="N173" s="49">
        <f>M173*L173</f>
      </c>
      <c r="O173" s="49">
        <f>M173*3</f>
      </c>
      <c r="P173" s="49">
        <f>M173*10*0.8</f>
      </c>
      <c r="Q173" s="49">
        <f>P173/70</f>
      </c>
      <c r="R173" s="49">
        <f>Q173*4</f>
      </c>
      <c r="S173" s="13"/>
      <c r="T173" s="13"/>
      <c r="U173" s="13"/>
      <c r="V173" s="18"/>
      <c r="W173" s="13"/>
    </row>
    <row x14ac:dyDescent="0.25" r="174" customHeight="1" ht="32.5">
      <c r="A174" s="46">
        <v>31</v>
      </c>
      <c r="B174" s="47" t="s">
        <v>550</v>
      </c>
      <c r="C174" s="47" t="s">
        <v>654</v>
      </c>
      <c r="D174" s="47" t="s">
        <v>615</v>
      </c>
      <c r="E174" s="47" t="s">
        <v>377</v>
      </c>
      <c r="F174" s="47" t="s">
        <v>434</v>
      </c>
      <c r="G174" s="47" t="s">
        <v>23</v>
      </c>
      <c r="H174" s="48">
        <v>9.94</v>
      </c>
      <c r="I174" s="47" t="s">
        <v>655</v>
      </c>
      <c r="J174" s="50" t="s">
        <v>32</v>
      </c>
      <c r="K174" s="50" t="s">
        <v>59</v>
      </c>
      <c r="L174" s="45">
        <v>13</v>
      </c>
      <c r="M174" s="49">
        <f>H174*10000*0.25</f>
      </c>
      <c r="N174" s="49">
        <f>M174*L174</f>
      </c>
      <c r="O174" s="49">
        <f>M174*3</f>
      </c>
      <c r="P174" s="49">
        <f>M174*10*0.8</f>
      </c>
      <c r="Q174" s="49">
        <f>P174/70</f>
      </c>
      <c r="R174" s="49">
        <f>Q174*4</f>
      </c>
      <c r="S174" s="13"/>
      <c r="T174" s="13"/>
      <c r="U174" s="13"/>
      <c r="V174" s="18"/>
      <c r="W174" s="13"/>
    </row>
    <row x14ac:dyDescent="0.25" r="175" customHeight="1" ht="32.5">
      <c r="A175" s="46">
        <v>32</v>
      </c>
      <c r="B175" s="47" t="s">
        <v>550</v>
      </c>
      <c r="C175" s="47" t="s">
        <v>656</v>
      </c>
      <c r="D175" s="47" t="s">
        <v>584</v>
      </c>
      <c r="E175" s="47" t="s">
        <v>377</v>
      </c>
      <c r="F175" s="47" t="s">
        <v>434</v>
      </c>
      <c r="G175" s="47" t="s">
        <v>23</v>
      </c>
      <c r="H175" s="48">
        <v>0.25</v>
      </c>
      <c r="I175" s="47" t="s">
        <v>657</v>
      </c>
      <c r="J175" s="50" t="s">
        <v>32</v>
      </c>
      <c r="K175" s="50" t="s">
        <v>48</v>
      </c>
      <c r="L175" s="45">
        <v>12</v>
      </c>
      <c r="M175" s="49">
        <f>H175*10000*0.25</f>
      </c>
      <c r="N175" s="49">
        <f>M175*L175</f>
      </c>
      <c r="O175" s="49">
        <f>M175*2</f>
      </c>
      <c r="P175" s="49">
        <f>M175*10*0.8</f>
      </c>
      <c r="Q175" s="49">
        <f>P175/70</f>
      </c>
      <c r="R175" s="49">
        <f>Q175*4</f>
      </c>
      <c r="S175" s="13"/>
      <c r="T175" s="13"/>
      <c r="U175" s="13"/>
      <c r="V175" s="18"/>
      <c r="W175" s="13"/>
    </row>
    <row x14ac:dyDescent="0.25" r="176" customHeight="1" ht="32.5">
      <c r="A176" s="46">
        <v>33</v>
      </c>
      <c r="B176" s="47" t="s">
        <v>550</v>
      </c>
      <c r="C176" s="47" t="s">
        <v>658</v>
      </c>
      <c r="D176" s="47" t="s">
        <v>596</v>
      </c>
      <c r="E176" s="47" t="s">
        <v>570</v>
      </c>
      <c r="F176" s="47" t="s">
        <v>659</v>
      </c>
      <c r="G176" s="47" t="s">
        <v>104</v>
      </c>
      <c r="H176" s="48">
        <v>0.05</v>
      </c>
      <c r="I176" s="47" t="s">
        <v>660</v>
      </c>
      <c r="J176" s="50" t="s">
        <v>567</v>
      </c>
      <c r="K176" s="50" t="s">
        <v>48</v>
      </c>
      <c r="L176" s="45">
        <v>5</v>
      </c>
      <c r="M176" s="49">
        <f>H176*10000*0.25</f>
      </c>
      <c r="N176" s="49">
        <f>M176*L176</f>
      </c>
      <c r="O176" s="49">
        <f>M176*L176</f>
      </c>
      <c r="P176" s="49">
        <v>0</v>
      </c>
      <c r="Q176" s="49">
        <f>P176/70</f>
      </c>
      <c r="R176" s="49">
        <f>Q176*4</f>
      </c>
      <c r="S176" s="13"/>
      <c r="T176" s="13"/>
      <c r="U176" s="13"/>
      <c r="V176" s="18"/>
      <c r="W176" s="13"/>
    </row>
    <row x14ac:dyDescent="0.25" r="177" customHeight="1" ht="32.5">
      <c r="A177" s="46">
        <v>34</v>
      </c>
      <c r="B177" s="47" t="s">
        <v>550</v>
      </c>
      <c r="C177" s="47" t="s">
        <v>661</v>
      </c>
      <c r="D177" s="47" t="s">
        <v>596</v>
      </c>
      <c r="E177" s="47" t="s">
        <v>570</v>
      </c>
      <c r="F177" s="47" t="s">
        <v>659</v>
      </c>
      <c r="G177" s="47" t="s">
        <v>104</v>
      </c>
      <c r="H177" s="48">
        <v>0.05</v>
      </c>
      <c r="I177" s="47" t="s">
        <v>662</v>
      </c>
      <c r="J177" s="50" t="s">
        <v>567</v>
      </c>
      <c r="K177" s="50" t="s">
        <v>48</v>
      </c>
      <c r="L177" s="45">
        <v>5</v>
      </c>
      <c r="M177" s="49">
        <f>H177*10000*0.25</f>
      </c>
      <c r="N177" s="49">
        <f>M177*L177</f>
      </c>
      <c r="O177" s="49">
        <f>M177*L177</f>
      </c>
      <c r="P177" s="49">
        <v>0</v>
      </c>
      <c r="Q177" s="49">
        <f>P177/70</f>
      </c>
      <c r="R177" s="49">
        <f>Q177*4</f>
      </c>
      <c r="S177" s="13"/>
      <c r="T177" s="13"/>
      <c r="U177" s="13"/>
      <c r="V177" s="18"/>
      <c r="W177" s="13"/>
    </row>
    <row x14ac:dyDescent="0.25" r="178" customHeight="1" ht="32.5">
      <c r="A178" s="46">
        <v>35</v>
      </c>
      <c r="B178" s="47" t="s">
        <v>550</v>
      </c>
      <c r="C178" s="47" t="s">
        <v>663</v>
      </c>
      <c r="D178" s="47" t="s">
        <v>552</v>
      </c>
      <c r="E178" s="47" t="s">
        <v>664</v>
      </c>
      <c r="F178" s="47" t="s">
        <v>665</v>
      </c>
      <c r="G178" s="47" t="s">
        <v>23</v>
      </c>
      <c r="H178" s="48">
        <v>5.5</v>
      </c>
      <c r="I178" s="47" t="s">
        <v>666</v>
      </c>
      <c r="J178" s="50" t="s">
        <v>25</v>
      </c>
      <c r="K178" s="50" t="s">
        <v>48</v>
      </c>
      <c r="L178" s="17">
        <v>13</v>
      </c>
      <c r="M178" s="49">
        <f>H178*10000*0.25</f>
      </c>
      <c r="N178" s="49">
        <f>M178*L178</f>
      </c>
      <c r="O178" s="49">
        <f>M178*3</f>
      </c>
      <c r="P178" s="49">
        <f>M178*10*0.8</f>
      </c>
      <c r="Q178" s="49">
        <f>P178/70</f>
      </c>
      <c r="R178" s="49">
        <f>Q178*4</f>
      </c>
      <c r="S178" s="13"/>
      <c r="T178" s="13"/>
      <c r="U178" s="13"/>
      <c r="V178" s="18"/>
      <c r="W178" s="13"/>
    </row>
    <row x14ac:dyDescent="0.25" r="179" customHeight="1" ht="18.75">
      <c r="A179" s="46">
        <v>36</v>
      </c>
      <c r="B179" s="47" t="s">
        <v>550</v>
      </c>
      <c r="C179" s="47" t="s">
        <v>667</v>
      </c>
      <c r="D179" s="47" t="s">
        <v>590</v>
      </c>
      <c r="E179" s="47" t="s">
        <v>668</v>
      </c>
      <c r="F179" s="47" t="s">
        <v>669</v>
      </c>
      <c r="G179" s="47" t="s">
        <v>23</v>
      </c>
      <c r="H179" s="46">
        <v>10</v>
      </c>
      <c r="I179" s="47" t="s">
        <v>670</v>
      </c>
      <c r="J179" s="50" t="s">
        <v>25</v>
      </c>
      <c r="K179" s="50" t="s">
        <v>59</v>
      </c>
      <c r="L179" s="45">
        <v>10</v>
      </c>
      <c r="M179" s="49">
        <f>H179*10000*0.25</f>
      </c>
      <c r="N179" s="49">
        <f>M179*L179</f>
      </c>
      <c r="O179" s="49">
        <f>M179*2</f>
      </c>
      <c r="P179" s="49">
        <f>M179*8*0.8</f>
      </c>
      <c r="Q179" s="49">
        <f>P179/70</f>
      </c>
      <c r="R179" s="49">
        <f>Q179*4</f>
      </c>
      <c r="S179" s="13"/>
      <c r="T179" s="13"/>
      <c r="U179" s="13"/>
      <c r="V179" s="18"/>
      <c r="W179" s="13"/>
    </row>
    <row x14ac:dyDescent="0.25" r="180" customHeight="1" ht="18.75">
      <c r="A180" s="46">
        <v>37</v>
      </c>
      <c r="B180" s="47" t="s">
        <v>550</v>
      </c>
      <c r="C180" s="47" t="s">
        <v>671</v>
      </c>
      <c r="D180" s="47" t="s">
        <v>590</v>
      </c>
      <c r="E180" s="47" t="s">
        <v>668</v>
      </c>
      <c r="F180" s="47" t="s">
        <v>669</v>
      </c>
      <c r="G180" s="47" t="s">
        <v>23</v>
      </c>
      <c r="H180" s="46">
        <v>6</v>
      </c>
      <c r="I180" s="47" t="s">
        <v>672</v>
      </c>
      <c r="J180" s="50" t="s">
        <v>25</v>
      </c>
      <c r="K180" s="50" t="s">
        <v>59</v>
      </c>
      <c r="L180" s="17">
        <v>10</v>
      </c>
      <c r="M180" s="49">
        <f>H180*10000*0.25</f>
      </c>
      <c r="N180" s="49">
        <f>M180*L180</f>
      </c>
      <c r="O180" s="49">
        <f>M180*2</f>
      </c>
      <c r="P180" s="49">
        <f>M180*8*0.8</f>
      </c>
      <c r="Q180" s="49">
        <f>P180/70</f>
      </c>
      <c r="R180" s="49">
        <f>Q180*4</f>
      </c>
      <c r="S180" s="13"/>
      <c r="T180" s="13"/>
      <c r="U180" s="13"/>
      <c r="V180" s="18"/>
      <c r="W180" s="13"/>
    </row>
    <row x14ac:dyDescent="0.25" r="181" customHeight="1" ht="56.25">
      <c r="A181" s="46">
        <v>38</v>
      </c>
      <c r="B181" s="47" t="s">
        <v>550</v>
      </c>
      <c r="C181" s="47" t="s">
        <v>673</v>
      </c>
      <c r="D181" s="47" t="s">
        <v>590</v>
      </c>
      <c r="E181" s="47" t="s">
        <v>668</v>
      </c>
      <c r="F181" s="47" t="s">
        <v>669</v>
      </c>
      <c r="G181" s="47" t="s">
        <v>23</v>
      </c>
      <c r="H181" s="48">
        <v>2.8</v>
      </c>
      <c r="I181" s="47" t="s">
        <v>674</v>
      </c>
      <c r="J181" s="50" t="s">
        <v>32</v>
      </c>
      <c r="K181" s="50" t="s">
        <v>59</v>
      </c>
      <c r="L181" s="45">
        <v>10</v>
      </c>
      <c r="M181" s="49">
        <f>H181*10000*0.25</f>
      </c>
      <c r="N181" s="49">
        <f>M181*L181</f>
      </c>
      <c r="O181" s="49">
        <f>M181*2</f>
      </c>
      <c r="P181" s="49">
        <f>M181*8*0.8</f>
      </c>
      <c r="Q181" s="49">
        <f>P181/70</f>
      </c>
      <c r="R181" s="49">
        <f>Q181*4</f>
      </c>
      <c r="S181" s="13"/>
      <c r="T181" s="13"/>
      <c r="U181" s="13"/>
      <c r="V181" s="18"/>
      <c r="W181" s="13"/>
    </row>
    <row x14ac:dyDescent="0.25" r="182" customHeight="1" ht="32.5">
      <c r="A182" s="46">
        <v>39</v>
      </c>
      <c r="B182" s="47" t="s">
        <v>550</v>
      </c>
      <c r="C182" s="47" t="s">
        <v>675</v>
      </c>
      <c r="D182" s="47" t="s">
        <v>590</v>
      </c>
      <c r="E182" s="47" t="s">
        <v>668</v>
      </c>
      <c r="F182" s="47" t="s">
        <v>676</v>
      </c>
      <c r="G182" s="47" t="s">
        <v>23</v>
      </c>
      <c r="H182" s="48">
        <v>4.5</v>
      </c>
      <c r="I182" s="47" t="s">
        <v>677</v>
      </c>
      <c r="J182" s="50" t="s">
        <v>32</v>
      </c>
      <c r="K182" s="50" t="s">
        <v>59</v>
      </c>
      <c r="L182" s="45">
        <v>10</v>
      </c>
      <c r="M182" s="49">
        <f>H182*10000*0.25</f>
      </c>
      <c r="N182" s="49">
        <f>M182*L182</f>
      </c>
      <c r="O182" s="49">
        <f>M182*2</f>
      </c>
      <c r="P182" s="49">
        <f>M182*8*0.8</f>
      </c>
      <c r="Q182" s="49">
        <f>P182/70</f>
      </c>
      <c r="R182" s="49">
        <f>Q182*4</f>
      </c>
      <c r="S182" s="13"/>
      <c r="T182" s="13"/>
      <c r="U182" s="13"/>
      <c r="V182" s="18"/>
      <c r="W182" s="13"/>
    </row>
    <row x14ac:dyDescent="0.25" r="183" customHeight="1" ht="32.5">
      <c r="A183" s="46">
        <v>40</v>
      </c>
      <c r="B183" s="47" t="s">
        <v>550</v>
      </c>
      <c r="C183" s="47" t="s">
        <v>678</v>
      </c>
      <c r="D183" s="47" t="s">
        <v>679</v>
      </c>
      <c r="E183" s="47" t="s">
        <v>615</v>
      </c>
      <c r="F183" s="47" t="s">
        <v>680</v>
      </c>
      <c r="G183" s="47" t="s">
        <v>23</v>
      </c>
      <c r="H183" s="46">
        <v>8</v>
      </c>
      <c r="I183" s="47" t="s">
        <v>681</v>
      </c>
      <c r="J183" s="50" t="s">
        <v>25</v>
      </c>
      <c r="K183" s="50" t="s">
        <v>59</v>
      </c>
      <c r="L183" s="45">
        <v>10</v>
      </c>
      <c r="M183" s="49">
        <f>H183*10000*0.25</f>
      </c>
      <c r="N183" s="49">
        <f>M183*L183</f>
      </c>
      <c r="O183" s="49">
        <f>M183*2</f>
      </c>
      <c r="P183" s="49">
        <f>M183*8*0.8</f>
      </c>
      <c r="Q183" s="49">
        <f>P183/70</f>
      </c>
      <c r="R183" s="49">
        <f>Q183*4</f>
      </c>
      <c r="S183" s="13"/>
      <c r="T183" s="13"/>
      <c r="U183" s="13"/>
      <c r="V183" s="18"/>
      <c r="W183" s="13"/>
    </row>
    <row x14ac:dyDescent="0.25" r="184" customHeight="1" ht="18.75">
      <c r="A184" s="52">
        <v>41</v>
      </c>
      <c r="B184" s="50" t="s">
        <v>550</v>
      </c>
      <c r="C184" s="50" t="s">
        <v>682</v>
      </c>
      <c r="D184" s="50" t="s">
        <v>590</v>
      </c>
      <c r="E184" s="50" t="s">
        <v>664</v>
      </c>
      <c r="F184" s="50" t="s">
        <v>683</v>
      </c>
      <c r="G184" s="50" t="s">
        <v>23</v>
      </c>
      <c r="H184" s="53">
        <v>9.48</v>
      </c>
      <c r="I184" s="50" t="s">
        <v>684</v>
      </c>
      <c r="J184" s="50" t="s">
        <v>25</v>
      </c>
      <c r="K184" s="50" t="s">
        <v>48</v>
      </c>
      <c r="L184" s="45">
        <v>13</v>
      </c>
      <c r="M184" s="49">
        <f>H184*10000*0.25</f>
      </c>
      <c r="N184" s="49">
        <f>M184*L184</f>
      </c>
      <c r="O184" s="49">
        <f>M184*3</f>
      </c>
      <c r="P184" s="49">
        <f>M184*10*0.8</f>
      </c>
      <c r="Q184" s="49">
        <f>P184/70</f>
      </c>
      <c r="R184" s="49">
        <f>Q184*4</f>
      </c>
      <c r="S184" s="13"/>
      <c r="T184" s="13"/>
      <c r="U184" s="13"/>
      <c r="V184" s="18"/>
      <c r="W184" s="13"/>
    </row>
    <row x14ac:dyDescent="0.25" r="185" customHeight="1" ht="18.75">
      <c r="A185" s="21" t="s">
        <v>685</v>
      </c>
      <c r="B185" s="22" t="s">
        <v>550</v>
      </c>
      <c r="C185" s="22" t="s">
        <v>686</v>
      </c>
      <c r="D185" s="22" t="s">
        <v>687</v>
      </c>
      <c r="E185" s="22" t="s">
        <v>664</v>
      </c>
      <c r="F185" s="22" t="s">
        <v>683</v>
      </c>
      <c r="G185" s="22" t="s">
        <v>23</v>
      </c>
      <c r="H185" s="54">
        <v>20.7</v>
      </c>
      <c r="I185" s="22" t="s">
        <v>688</v>
      </c>
      <c r="J185" s="22" t="s">
        <v>25</v>
      </c>
      <c r="K185" s="22" t="s">
        <v>48</v>
      </c>
      <c r="L185" s="45">
        <v>8</v>
      </c>
      <c r="M185" s="23">
        <f>H185*10000*0.25</f>
      </c>
      <c r="N185" s="23">
        <f>M185*L185</f>
      </c>
      <c r="O185" s="23">
        <f>M185*1</f>
      </c>
      <c r="P185" s="23">
        <f>M185*7*0.8</f>
      </c>
      <c r="Q185" s="23">
        <f>P185/70</f>
      </c>
      <c r="R185" s="23">
        <f>Q185*4</f>
      </c>
      <c r="S185" s="13"/>
      <c r="T185" s="13"/>
      <c r="U185" s="13"/>
      <c r="V185" s="18"/>
      <c r="W185" s="13"/>
    </row>
    <row x14ac:dyDescent="0.25" r="186" customHeight="1" ht="47.25">
      <c r="A186" s="55">
        <v>1</v>
      </c>
      <c r="B186" s="56" t="s">
        <v>689</v>
      </c>
      <c r="C186" s="57" t="s">
        <v>690</v>
      </c>
      <c r="D186" s="57" t="s">
        <v>691</v>
      </c>
      <c r="E186" s="57" t="s">
        <v>692</v>
      </c>
      <c r="F186" s="57" t="s">
        <v>693</v>
      </c>
      <c r="G186" s="57" t="s">
        <v>23</v>
      </c>
      <c r="H186" s="58">
        <v>10.6</v>
      </c>
      <c r="I186" s="57" t="s">
        <v>694</v>
      </c>
      <c r="J186" s="57" t="s">
        <v>695</v>
      </c>
      <c r="K186" s="57" t="s">
        <v>59</v>
      </c>
      <c r="L186" s="45">
        <v>13</v>
      </c>
      <c r="M186" s="44">
        <f>H186*10000*0.25</f>
      </c>
      <c r="N186" s="44">
        <f>M186*L186</f>
      </c>
      <c r="O186" s="44">
        <f>M186*3</f>
      </c>
      <c r="P186" s="44">
        <f>M186*10*0.8</f>
      </c>
      <c r="Q186" s="44">
        <f>P186/70</f>
      </c>
      <c r="R186" s="44">
        <f>Q186*4</f>
      </c>
      <c r="S186" s="13"/>
      <c r="T186" s="13"/>
      <c r="U186" s="13"/>
      <c r="V186" s="18"/>
      <c r="W186" s="13"/>
    </row>
    <row x14ac:dyDescent="0.25" r="187" customHeight="1" ht="47.25">
      <c r="A187" s="55">
        <v>2</v>
      </c>
      <c r="B187" s="56" t="s">
        <v>689</v>
      </c>
      <c r="C187" s="57" t="s">
        <v>690</v>
      </c>
      <c r="D187" s="57" t="s">
        <v>337</v>
      </c>
      <c r="E187" s="57" t="s">
        <v>377</v>
      </c>
      <c r="F187" s="57" t="s">
        <v>696</v>
      </c>
      <c r="G187" s="57" t="s">
        <v>23</v>
      </c>
      <c r="H187" s="58">
        <v>0.5</v>
      </c>
      <c r="I187" s="57" t="s">
        <v>694</v>
      </c>
      <c r="J187" s="57" t="s">
        <v>32</v>
      </c>
      <c r="K187" s="57" t="s">
        <v>59</v>
      </c>
      <c r="L187" s="45">
        <v>16</v>
      </c>
      <c r="M187" s="44">
        <f>H187*10000*0.25</f>
      </c>
      <c r="N187" s="44">
        <f>M187*L187</f>
      </c>
      <c r="O187" s="44">
        <f>M187*3</f>
      </c>
      <c r="P187" s="44">
        <f>M187*13*0.8</f>
      </c>
      <c r="Q187" s="44">
        <f>P187/70</f>
      </c>
      <c r="R187" s="44">
        <f>Q187*4</f>
      </c>
      <c r="S187" s="13"/>
      <c r="T187" s="13"/>
      <c r="U187" s="13"/>
      <c r="V187" s="18"/>
      <c r="W187" s="13"/>
    </row>
    <row x14ac:dyDescent="0.25" r="188" customHeight="1" ht="47.25">
      <c r="A188" s="55">
        <v>3</v>
      </c>
      <c r="B188" s="56" t="s">
        <v>689</v>
      </c>
      <c r="C188" s="57" t="s">
        <v>697</v>
      </c>
      <c r="D188" s="57" t="s">
        <v>698</v>
      </c>
      <c r="E188" s="57" t="s">
        <v>699</v>
      </c>
      <c r="F188" s="57" t="s">
        <v>700</v>
      </c>
      <c r="G188" s="57" t="s">
        <v>643</v>
      </c>
      <c r="H188" s="58">
        <v>2.5</v>
      </c>
      <c r="I188" s="57" t="s">
        <v>701</v>
      </c>
      <c r="J188" s="57" t="s">
        <v>695</v>
      </c>
      <c r="K188" s="57" t="s">
        <v>48</v>
      </c>
      <c r="L188" s="45">
        <v>20</v>
      </c>
      <c r="M188" s="44">
        <f>H188*10000*0.25</f>
      </c>
      <c r="N188" s="44">
        <f>M188*L188</f>
      </c>
      <c r="O188" s="44">
        <f>M188*L188</f>
      </c>
      <c r="P188" s="44">
        <v>0</v>
      </c>
      <c r="Q188" s="44">
        <f>P188/70</f>
      </c>
      <c r="R188" s="44">
        <f>Q188*4</f>
      </c>
      <c r="S188" s="13"/>
      <c r="T188" s="13"/>
      <c r="U188" s="13"/>
      <c r="V188" s="18"/>
      <c r="W188" s="13"/>
    </row>
    <row x14ac:dyDescent="0.25" r="189" customHeight="1" ht="18.75">
      <c r="A189" s="55">
        <v>4</v>
      </c>
      <c r="B189" s="56" t="s">
        <v>689</v>
      </c>
      <c r="C189" s="57" t="s">
        <v>702</v>
      </c>
      <c r="D189" s="57" t="s">
        <v>703</v>
      </c>
      <c r="E189" s="57" t="s">
        <v>704</v>
      </c>
      <c r="F189" s="57" t="s">
        <v>705</v>
      </c>
      <c r="G189" s="57" t="s">
        <v>23</v>
      </c>
      <c r="H189" s="59">
        <v>6</v>
      </c>
      <c r="I189" s="57" t="s">
        <v>706</v>
      </c>
      <c r="J189" s="57" t="s">
        <v>695</v>
      </c>
      <c r="K189" s="57" t="s">
        <v>48</v>
      </c>
      <c r="L189" s="45">
        <v>50</v>
      </c>
      <c r="M189" s="44">
        <f>H189*10000*0.25</f>
      </c>
      <c r="N189" s="44">
        <f>M189*L189</f>
      </c>
      <c r="O189" s="44">
        <f>M189*25</f>
      </c>
      <c r="P189" s="44">
        <f>M189*25*0.8</f>
      </c>
      <c r="Q189" s="44">
        <f>P189/70</f>
      </c>
      <c r="R189" s="44">
        <f>Q189*4</f>
      </c>
      <c r="S189" s="13"/>
      <c r="T189" s="13"/>
      <c r="U189" s="13"/>
      <c r="V189" s="18"/>
      <c r="W189" s="13"/>
    </row>
    <row x14ac:dyDescent="0.25" r="190" customHeight="1" ht="18.75">
      <c r="A190" s="55">
        <v>5</v>
      </c>
      <c r="B190" s="56" t="s">
        <v>689</v>
      </c>
      <c r="C190" s="57" t="s">
        <v>707</v>
      </c>
      <c r="D190" s="57" t="s">
        <v>708</v>
      </c>
      <c r="E190" s="57" t="s">
        <v>377</v>
      </c>
      <c r="F190" s="57" t="s">
        <v>709</v>
      </c>
      <c r="G190" s="57" t="s">
        <v>23</v>
      </c>
      <c r="H190" s="58">
        <v>4.4</v>
      </c>
      <c r="I190" s="57" t="s">
        <v>710</v>
      </c>
      <c r="J190" s="57" t="s">
        <v>695</v>
      </c>
      <c r="K190" s="57" t="s">
        <v>59</v>
      </c>
      <c r="L190" s="45">
        <v>12</v>
      </c>
      <c r="M190" s="44">
        <f>H190*10000*0.25</f>
      </c>
      <c r="N190" s="44">
        <f>M190*L190</f>
      </c>
      <c r="O190" s="44">
        <f>M190*2</f>
      </c>
      <c r="P190" s="44">
        <f>M190*10*0.8</f>
      </c>
      <c r="Q190" s="44">
        <f>P190/70</f>
      </c>
      <c r="R190" s="44">
        <f>Q190*4</f>
      </c>
      <c r="S190" s="13"/>
      <c r="T190" s="13"/>
      <c r="U190" s="13"/>
      <c r="V190" s="18"/>
      <c r="W190" s="13"/>
    </row>
    <row x14ac:dyDescent="0.25" r="191" customHeight="1" ht="18.75">
      <c r="A191" s="55">
        <v>6</v>
      </c>
      <c r="B191" s="60" t="s">
        <v>689</v>
      </c>
      <c r="C191" s="57" t="s">
        <v>711</v>
      </c>
      <c r="D191" s="57" t="s">
        <v>712</v>
      </c>
      <c r="E191" s="57" t="s">
        <v>21</v>
      </c>
      <c r="F191" s="57" t="s">
        <v>713</v>
      </c>
      <c r="G191" s="57" t="s">
        <v>23</v>
      </c>
      <c r="H191" s="58">
        <v>8.4</v>
      </c>
      <c r="I191" s="57" t="s">
        <v>714</v>
      </c>
      <c r="J191" s="57" t="s">
        <v>25</v>
      </c>
      <c r="K191" s="57" t="s">
        <v>48</v>
      </c>
      <c r="L191" s="45">
        <v>10</v>
      </c>
      <c r="M191" s="44">
        <f>H191*10000*0.25</f>
      </c>
      <c r="N191" s="44">
        <f>M191*L191</f>
      </c>
      <c r="O191" s="44">
        <f>M191*3</f>
      </c>
      <c r="P191" s="44">
        <f>M191*7*0.8</f>
      </c>
      <c r="Q191" s="44">
        <f>P191/70</f>
      </c>
      <c r="R191" s="44">
        <f>Q191*4</f>
      </c>
      <c r="S191" s="13"/>
      <c r="T191" s="13"/>
      <c r="U191" s="13"/>
      <c r="V191" s="18"/>
      <c r="W191" s="13"/>
    </row>
    <row x14ac:dyDescent="0.25" r="192" customHeight="1" ht="18.75">
      <c r="A192" s="55">
        <v>7</v>
      </c>
      <c r="B192" s="60" t="s">
        <v>689</v>
      </c>
      <c r="C192" s="57" t="s">
        <v>715</v>
      </c>
      <c r="D192" s="57" t="s">
        <v>716</v>
      </c>
      <c r="E192" s="57" t="s">
        <v>717</v>
      </c>
      <c r="F192" s="57" t="s">
        <v>718</v>
      </c>
      <c r="G192" s="57" t="s">
        <v>23</v>
      </c>
      <c r="H192" s="58">
        <v>2.8</v>
      </c>
      <c r="I192" s="57" t="s">
        <v>719</v>
      </c>
      <c r="J192" s="57" t="s">
        <v>25</v>
      </c>
      <c r="K192" s="57" t="s">
        <v>59</v>
      </c>
      <c r="L192" s="45">
        <v>10</v>
      </c>
      <c r="M192" s="44">
        <f>H192*10000*0.25</f>
      </c>
      <c r="N192" s="44">
        <f>M192*L192</f>
      </c>
      <c r="O192" s="44">
        <f>M192*3</f>
      </c>
      <c r="P192" s="44">
        <f>M192*7*0.8</f>
      </c>
      <c r="Q192" s="44">
        <f>P192/70</f>
      </c>
      <c r="R192" s="44">
        <f>Q192*4</f>
      </c>
      <c r="S192" s="13"/>
      <c r="T192" s="13"/>
      <c r="U192" s="13"/>
      <c r="V192" s="18"/>
      <c r="W192" s="13"/>
    </row>
    <row x14ac:dyDescent="0.25" r="193" customHeight="1" ht="18.75">
      <c r="A193" s="55">
        <v>8</v>
      </c>
      <c r="B193" s="60" t="s">
        <v>689</v>
      </c>
      <c r="C193" s="57" t="s">
        <v>720</v>
      </c>
      <c r="D193" s="57" t="s">
        <v>721</v>
      </c>
      <c r="E193" s="57" t="s">
        <v>570</v>
      </c>
      <c r="F193" s="57" t="s">
        <v>722</v>
      </c>
      <c r="G193" s="57" t="s">
        <v>104</v>
      </c>
      <c r="H193" s="58">
        <v>0.05</v>
      </c>
      <c r="I193" s="57" t="s">
        <v>723</v>
      </c>
      <c r="J193" s="57" t="s">
        <v>25</v>
      </c>
      <c r="K193" s="57" t="s">
        <v>48</v>
      </c>
      <c r="L193" s="45">
        <v>5</v>
      </c>
      <c r="M193" s="44">
        <f>H193*10000</f>
      </c>
      <c r="N193" s="44">
        <f>M193*L193</f>
      </c>
      <c r="O193" s="44">
        <f>M193*L193</f>
      </c>
      <c r="P193" s="44">
        <v>0</v>
      </c>
      <c r="Q193" s="44">
        <f>P193/70</f>
      </c>
      <c r="R193" s="44">
        <f>Q193*4</f>
      </c>
      <c r="S193" s="13"/>
      <c r="T193" s="13"/>
      <c r="U193" s="13"/>
      <c r="V193" s="18"/>
      <c r="W193" s="13"/>
    </row>
    <row x14ac:dyDescent="0.25" r="194" customHeight="1" ht="18.75">
      <c r="A194" s="55">
        <v>9</v>
      </c>
      <c r="B194" s="60" t="s">
        <v>689</v>
      </c>
      <c r="C194" s="57" t="s">
        <v>724</v>
      </c>
      <c r="D194" s="57" t="s">
        <v>337</v>
      </c>
      <c r="E194" s="57" t="s">
        <v>725</v>
      </c>
      <c r="F194" s="57" t="s">
        <v>726</v>
      </c>
      <c r="G194" s="57" t="s">
        <v>147</v>
      </c>
      <c r="H194" s="58">
        <v>0.6</v>
      </c>
      <c r="I194" s="57" t="s">
        <v>727</v>
      </c>
      <c r="J194" s="57" t="s">
        <v>25</v>
      </c>
      <c r="K194" s="57" t="s">
        <v>48</v>
      </c>
      <c r="L194" s="45">
        <v>9</v>
      </c>
      <c r="M194" s="44">
        <f>H194*10000*0.25</f>
      </c>
      <c r="N194" s="44">
        <f>M194*L194</f>
      </c>
      <c r="O194" s="44">
        <f>M194*L194</f>
      </c>
      <c r="P194" s="44">
        <v>0</v>
      </c>
      <c r="Q194" s="44">
        <f>P194/70</f>
      </c>
      <c r="R194" s="44">
        <f>Q194*4</f>
      </c>
      <c r="S194" s="13"/>
      <c r="T194" s="13"/>
      <c r="U194" s="13"/>
      <c r="V194" s="18"/>
      <c r="W194" s="13"/>
    </row>
    <row x14ac:dyDescent="0.25" r="195" customHeight="1" ht="18.75">
      <c r="A195" s="55">
        <v>10</v>
      </c>
      <c r="B195" s="60" t="s">
        <v>689</v>
      </c>
      <c r="C195" s="57" t="s">
        <v>728</v>
      </c>
      <c r="D195" s="57" t="s">
        <v>337</v>
      </c>
      <c r="E195" s="57" t="s">
        <v>729</v>
      </c>
      <c r="F195" s="57" t="s">
        <v>726</v>
      </c>
      <c r="G195" s="57" t="s">
        <v>147</v>
      </c>
      <c r="H195" s="58">
        <v>0.78</v>
      </c>
      <c r="I195" s="57" t="s">
        <v>730</v>
      </c>
      <c r="J195" s="57" t="s">
        <v>25</v>
      </c>
      <c r="K195" s="57" t="s">
        <v>48</v>
      </c>
      <c r="L195" s="45">
        <v>10</v>
      </c>
      <c r="M195" s="44">
        <f>H195*10000*0.25</f>
      </c>
      <c r="N195" s="44">
        <f>M195*L195</f>
      </c>
      <c r="O195" s="44">
        <f>M195*3</f>
      </c>
      <c r="P195" s="44">
        <f>M195*7*0.8</f>
      </c>
      <c r="Q195" s="44">
        <f>P195/70</f>
      </c>
      <c r="R195" s="44">
        <f>Q195*4</f>
      </c>
      <c r="S195" s="13"/>
      <c r="T195" s="13"/>
      <c r="U195" s="13"/>
      <c r="V195" s="18"/>
      <c r="W195" s="13"/>
    </row>
    <row x14ac:dyDescent="0.25" r="196" customHeight="1" ht="18.75">
      <c r="A196" s="55">
        <v>11</v>
      </c>
      <c r="B196" s="60" t="s">
        <v>689</v>
      </c>
      <c r="C196" s="57" t="s">
        <v>731</v>
      </c>
      <c r="D196" s="57" t="s">
        <v>337</v>
      </c>
      <c r="E196" s="57" t="s">
        <v>732</v>
      </c>
      <c r="F196" s="57" t="s">
        <v>733</v>
      </c>
      <c r="G196" s="57" t="s">
        <v>734</v>
      </c>
      <c r="H196" s="58">
        <v>0.28</v>
      </c>
      <c r="I196" s="57" t="s">
        <v>735</v>
      </c>
      <c r="J196" s="57" t="s">
        <v>25</v>
      </c>
      <c r="K196" s="57" t="s">
        <v>48</v>
      </c>
      <c r="L196" s="45">
        <v>12</v>
      </c>
      <c r="M196" s="44">
        <f>H196*10000*0.25</f>
      </c>
      <c r="N196" s="44">
        <f>M196*L196</f>
      </c>
      <c r="O196" s="44">
        <f>M196*L196</f>
      </c>
      <c r="P196" s="44">
        <v>0</v>
      </c>
      <c r="Q196" s="44">
        <f>P196/70</f>
      </c>
      <c r="R196" s="44">
        <f>Q196*4</f>
      </c>
      <c r="S196" s="13"/>
      <c r="T196" s="13"/>
      <c r="U196" s="13"/>
      <c r="V196" s="18"/>
      <c r="W196" s="13"/>
    </row>
    <row x14ac:dyDescent="0.25" r="197" customHeight="1" ht="18.75">
      <c r="A197" s="55">
        <v>12</v>
      </c>
      <c r="B197" s="60" t="s">
        <v>689</v>
      </c>
      <c r="C197" s="57" t="s">
        <v>736</v>
      </c>
      <c r="D197" s="57" t="s">
        <v>737</v>
      </c>
      <c r="E197" s="57" t="s">
        <v>21</v>
      </c>
      <c r="F197" s="57" t="s">
        <v>738</v>
      </c>
      <c r="G197" s="57" t="s">
        <v>23</v>
      </c>
      <c r="H197" s="58">
        <v>15.2</v>
      </c>
      <c r="I197" s="57" t="s">
        <v>739</v>
      </c>
      <c r="J197" s="57" t="s">
        <v>25</v>
      </c>
      <c r="K197" s="57" t="s">
        <v>59</v>
      </c>
      <c r="L197" s="45">
        <v>10</v>
      </c>
      <c r="M197" s="44">
        <f>H197*10000*0.25</f>
      </c>
      <c r="N197" s="44">
        <f>M197*L197</f>
      </c>
      <c r="O197" s="44">
        <f>M197*3</f>
      </c>
      <c r="P197" s="44">
        <f>M197*7*0.8</f>
      </c>
      <c r="Q197" s="44">
        <f>P197/70</f>
      </c>
      <c r="R197" s="44">
        <f>Q197*4</f>
      </c>
      <c r="S197" s="13"/>
      <c r="T197" s="13"/>
      <c r="U197" s="13"/>
      <c r="V197" s="18"/>
      <c r="W197" s="13"/>
    </row>
    <row x14ac:dyDescent="0.25" r="198" customHeight="1" ht="18.75">
      <c r="A198" s="55">
        <v>13</v>
      </c>
      <c r="B198" s="60" t="s">
        <v>689</v>
      </c>
      <c r="C198" s="57" t="s">
        <v>740</v>
      </c>
      <c r="D198" s="57" t="s">
        <v>741</v>
      </c>
      <c r="E198" s="57" t="s">
        <v>570</v>
      </c>
      <c r="F198" s="57" t="s">
        <v>722</v>
      </c>
      <c r="G198" s="57" t="s">
        <v>104</v>
      </c>
      <c r="H198" s="58">
        <v>0.05</v>
      </c>
      <c r="I198" s="57" t="s">
        <v>742</v>
      </c>
      <c r="J198" s="57" t="s">
        <v>25</v>
      </c>
      <c r="K198" s="57" t="s">
        <v>48</v>
      </c>
      <c r="L198" s="45">
        <v>5</v>
      </c>
      <c r="M198" s="44">
        <f>H198*10000</f>
      </c>
      <c r="N198" s="44">
        <f>M198*L198</f>
      </c>
      <c r="O198" s="44">
        <f>M198*L198</f>
      </c>
      <c r="P198" s="44">
        <v>0</v>
      </c>
      <c r="Q198" s="44">
        <f>P198/70</f>
      </c>
      <c r="R198" s="44">
        <f>Q198*4</f>
      </c>
      <c r="S198" s="13"/>
      <c r="T198" s="13"/>
      <c r="U198" s="13"/>
      <c r="V198" s="18"/>
      <c r="W198" s="13"/>
    </row>
    <row x14ac:dyDescent="0.25" r="199" customHeight="1" ht="18.75">
      <c r="A199" s="55">
        <v>14</v>
      </c>
      <c r="B199" s="60" t="s">
        <v>689</v>
      </c>
      <c r="C199" s="57" t="s">
        <v>743</v>
      </c>
      <c r="D199" s="57" t="s">
        <v>744</v>
      </c>
      <c r="E199" s="57" t="s">
        <v>67</v>
      </c>
      <c r="F199" s="57" t="s">
        <v>669</v>
      </c>
      <c r="G199" s="57" t="s">
        <v>23</v>
      </c>
      <c r="H199" s="59">
        <v>1</v>
      </c>
      <c r="I199" s="57" t="s">
        <v>745</v>
      </c>
      <c r="J199" s="57" t="s">
        <v>25</v>
      </c>
      <c r="K199" s="57" t="s">
        <v>59</v>
      </c>
      <c r="L199" s="45">
        <v>13</v>
      </c>
      <c r="M199" s="44">
        <f>H199*10000*0.25</f>
      </c>
      <c r="N199" s="44">
        <f>M199*L199</f>
      </c>
      <c r="O199" s="44">
        <f>M199*3</f>
      </c>
      <c r="P199" s="44">
        <f>M199*10*0.8</f>
      </c>
      <c r="Q199" s="44">
        <f>P199/70</f>
      </c>
      <c r="R199" s="44">
        <f>Q199*4</f>
      </c>
      <c r="S199" s="13"/>
      <c r="T199" s="13"/>
      <c r="U199" s="13"/>
      <c r="V199" s="18"/>
      <c r="W199" s="13"/>
    </row>
    <row x14ac:dyDescent="0.25" r="200" customHeight="1" ht="18.75">
      <c r="A200" s="55">
        <v>15</v>
      </c>
      <c r="B200" s="60" t="s">
        <v>689</v>
      </c>
      <c r="C200" s="57" t="s">
        <v>746</v>
      </c>
      <c r="D200" s="57" t="s">
        <v>747</v>
      </c>
      <c r="E200" s="57" t="s">
        <v>748</v>
      </c>
      <c r="F200" s="57" t="s">
        <v>749</v>
      </c>
      <c r="G200" s="57" t="s">
        <v>23</v>
      </c>
      <c r="H200" s="59">
        <v>15</v>
      </c>
      <c r="I200" s="57" t="s">
        <v>750</v>
      </c>
      <c r="J200" s="57" t="s">
        <v>25</v>
      </c>
      <c r="K200" s="57" t="s">
        <v>59</v>
      </c>
      <c r="L200" s="45">
        <v>12</v>
      </c>
      <c r="M200" s="44">
        <f>H200*10000*0.25</f>
      </c>
      <c r="N200" s="44">
        <f>M200*L200</f>
      </c>
      <c r="O200" s="44">
        <f>M200*2</f>
      </c>
      <c r="P200" s="44">
        <f>M200*10*0.8</f>
      </c>
      <c r="Q200" s="44">
        <f>P200/70</f>
      </c>
      <c r="R200" s="44">
        <f>Q200*4</f>
      </c>
      <c r="S200" s="13"/>
      <c r="T200" s="13"/>
      <c r="U200" s="13"/>
      <c r="V200" s="18"/>
      <c r="W200" s="13"/>
    </row>
    <row x14ac:dyDescent="0.25" r="201" customHeight="1" ht="18.75">
      <c r="A201" s="55">
        <v>16</v>
      </c>
      <c r="B201" s="60" t="s">
        <v>689</v>
      </c>
      <c r="C201" s="57" t="s">
        <v>751</v>
      </c>
      <c r="D201" s="57" t="s">
        <v>752</v>
      </c>
      <c r="E201" s="57" t="s">
        <v>753</v>
      </c>
      <c r="F201" s="57" t="s">
        <v>754</v>
      </c>
      <c r="G201" s="57" t="s">
        <v>23</v>
      </c>
      <c r="H201" s="58">
        <v>17.7</v>
      </c>
      <c r="I201" s="57" t="s">
        <v>755</v>
      </c>
      <c r="J201" s="57" t="s">
        <v>695</v>
      </c>
      <c r="K201" s="57" t="s">
        <v>59</v>
      </c>
      <c r="L201" s="45">
        <v>13</v>
      </c>
      <c r="M201" s="44">
        <f>H201*10000*0.25</f>
      </c>
      <c r="N201" s="44">
        <f>M201*L201</f>
      </c>
      <c r="O201" s="44">
        <f>M201*3</f>
      </c>
      <c r="P201" s="44">
        <f>M201*10*0.8</f>
      </c>
      <c r="Q201" s="44">
        <f>P201/70</f>
      </c>
      <c r="R201" s="44">
        <f>Q201*4</f>
      </c>
      <c r="S201" s="13"/>
      <c r="T201" s="13"/>
      <c r="U201" s="13"/>
      <c r="V201" s="18"/>
      <c r="W201" s="13"/>
    </row>
    <row x14ac:dyDescent="0.25" r="202" customHeight="1" ht="18.75">
      <c r="A202" s="55">
        <v>17</v>
      </c>
      <c r="B202" s="60" t="s">
        <v>689</v>
      </c>
      <c r="C202" s="57" t="s">
        <v>756</v>
      </c>
      <c r="D202" s="57" t="s">
        <v>757</v>
      </c>
      <c r="E202" s="57" t="s">
        <v>758</v>
      </c>
      <c r="F202" s="57" t="s">
        <v>759</v>
      </c>
      <c r="G202" s="57" t="s">
        <v>23</v>
      </c>
      <c r="H202" s="58">
        <v>5.36</v>
      </c>
      <c r="I202" s="57" t="s">
        <v>760</v>
      </c>
      <c r="J202" s="57" t="s">
        <v>32</v>
      </c>
      <c r="K202" s="57" t="s">
        <v>48</v>
      </c>
      <c r="L202" s="45">
        <v>12</v>
      </c>
      <c r="M202" s="44">
        <f>H202*10000*0.25</f>
      </c>
      <c r="N202" s="44">
        <f>M202*L202</f>
      </c>
      <c r="O202" s="44">
        <f>M202*2</f>
      </c>
      <c r="P202" s="44">
        <f>M202*10*0.8</f>
      </c>
      <c r="Q202" s="44">
        <f>P202/70</f>
      </c>
      <c r="R202" s="44">
        <f>Q202*4</f>
      </c>
      <c r="S202" s="13"/>
      <c r="T202" s="13"/>
      <c r="U202" s="13"/>
      <c r="V202" s="18"/>
      <c r="W202" s="13"/>
    </row>
    <row x14ac:dyDescent="0.25" r="203" customHeight="1" ht="18.75">
      <c r="A203" s="55">
        <v>18</v>
      </c>
      <c r="B203" s="60" t="s">
        <v>689</v>
      </c>
      <c r="C203" s="57" t="s">
        <v>761</v>
      </c>
      <c r="D203" s="57" t="s">
        <v>337</v>
      </c>
      <c r="E203" s="57" t="s">
        <v>762</v>
      </c>
      <c r="F203" s="57" t="s">
        <v>616</v>
      </c>
      <c r="G203" s="57" t="s">
        <v>241</v>
      </c>
      <c r="H203" s="58">
        <v>2.4</v>
      </c>
      <c r="I203" s="57" t="s">
        <v>763</v>
      </c>
      <c r="J203" s="57" t="s">
        <v>25</v>
      </c>
      <c r="K203" s="57" t="s">
        <v>48</v>
      </c>
      <c r="L203" s="45">
        <v>20</v>
      </c>
      <c r="M203" s="44">
        <f>H203*10000*0.25</f>
      </c>
      <c r="N203" s="44">
        <f>M203*L203</f>
      </c>
      <c r="O203" s="44">
        <f>M203*L203</f>
      </c>
      <c r="P203" s="44">
        <v>0</v>
      </c>
      <c r="Q203" s="44">
        <f>P203/70</f>
      </c>
      <c r="R203" s="44">
        <f>Q203*4</f>
      </c>
      <c r="S203" s="13"/>
      <c r="T203" s="13"/>
      <c r="U203" s="13"/>
      <c r="V203" s="18"/>
      <c r="W203" s="13"/>
    </row>
    <row x14ac:dyDescent="0.25" r="204" customHeight="1" ht="18.75">
      <c r="A204" s="55">
        <v>19</v>
      </c>
      <c r="B204" s="60" t="s">
        <v>689</v>
      </c>
      <c r="C204" s="57" t="s">
        <v>764</v>
      </c>
      <c r="D204" s="57" t="s">
        <v>363</v>
      </c>
      <c r="E204" s="57" t="s">
        <v>765</v>
      </c>
      <c r="F204" s="57" t="s">
        <v>766</v>
      </c>
      <c r="G204" s="57" t="s">
        <v>23</v>
      </c>
      <c r="H204" s="59">
        <v>3</v>
      </c>
      <c r="I204" s="57" t="s">
        <v>767</v>
      </c>
      <c r="J204" s="57" t="s">
        <v>695</v>
      </c>
      <c r="K204" s="57" t="s">
        <v>48</v>
      </c>
      <c r="L204" s="45">
        <v>20</v>
      </c>
      <c r="M204" s="44">
        <f>H204*10000*0.25</f>
      </c>
      <c r="N204" s="44">
        <f>M204*L204</f>
      </c>
      <c r="O204" s="44">
        <f>M204*5</f>
      </c>
      <c r="P204" s="44">
        <f>M204*15*0.8</f>
      </c>
      <c r="Q204" s="44">
        <f>P204/70</f>
      </c>
      <c r="R204" s="44">
        <f>Q204*4</f>
      </c>
      <c r="S204" s="13"/>
      <c r="T204" s="13"/>
      <c r="U204" s="13"/>
      <c r="V204" s="18"/>
      <c r="W204" s="13"/>
    </row>
    <row x14ac:dyDescent="0.25" r="205" customHeight="1" ht="18.75">
      <c r="A205" s="55">
        <v>20</v>
      </c>
      <c r="B205" s="60" t="s">
        <v>689</v>
      </c>
      <c r="C205" s="57" t="s">
        <v>768</v>
      </c>
      <c r="D205" s="57" t="s">
        <v>337</v>
      </c>
      <c r="E205" s="57" t="s">
        <v>769</v>
      </c>
      <c r="F205" s="57" t="s">
        <v>770</v>
      </c>
      <c r="G205" s="57" t="s">
        <v>23</v>
      </c>
      <c r="H205" s="58">
        <v>0.37</v>
      </c>
      <c r="I205" s="57" t="s">
        <v>771</v>
      </c>
      <c r="J205" s="57" t="s">
        <v>695</v>
      </c>
      <c r="K205" s="57" t="s">
        <v>48</v>
      </c>
      <c r="L205" s="45">
        <v>30</v>
      </c>
      <c r="M205" s="44">
        <f>H205*10000*0.25</f>
      </c>
      <c r="N205" s="44">
        <f>M205*L205</f>
      </c>
      <c r="O205" s="44">
        <f>M205*10</f>
      </c>
      <c r="P205" s="44">
        <f>M205*20*0.8</f>
      </c>
      <c r="Q205" s="44">
        <f>P205/70</f>
      </c>
      <c r="R205" s="44">
        <f>Q205*4</f>
      </c>
      <c r="S205" s="13"/>
      <c r="T205" s="13"/>
      <c r="U205" s="13"/>
      <c r="V205" s="18"/>
      <c r="W205" s="13"/>
    </row>
    <row x14ac:dyDescent="0.25" r="206" customHeight="1" ht="18.75">
      <c r="A206" s="55">
        <v>21</v>
      </c>
      <c r="B206" s="60" t="s">
        <v>689</v>
      </c>
      <c r="C206" s="57" t="s">
        <v>772</v>
      </c>
      <c r="D206" s="57" t="s">
        <v>269</v>
      </c>
      <c r="E206" s="57" t="s">
        <v>641</v>
      </c>
      <c r="F206" s="57" t="s">
        <v>773</v>
      </c>
      <c r="G206" s="57" t="s">
        <v>23</v>
      </c>
      <c r="H206" s="58">
        <v>2.44</v>
      </c>
      <c r="I206" s="57" t="s">
        <v>774</v>
      </c>
      <c r="J206" s="57" t="s">
        <v>695</v>
      </c>
      <c r="K206" s="57" t="s">
        <v>59</v>
      </c>
      <c r="L206" s="45">
        <v>8</v>
      </c>
      <c r="M206" s="44">
        <f>H206*10000*0.25</f>
      </c>
      <c r="N206" s="44">
        <f>M206*L206</f>
      </c>
      <c r="O206" s="44">
        <f>M206*2</f>
      </c>
      <c r="P206" s="44">
        <f>M206*6*0.8</f>
      </c>
      <c r="Q206" s="44">
        <f>P206/70</f>
      </c>
      <c r="R206" s="44">
        <f>Q206*4</f>
      </c>
      <c r="S206" s="13"/>
      <c r="T206" s="13"/>
      <c r="U206" s="13"/>
      <c r="V206" s="18"/>
      <c r="W206" s="13"/>
    </row>
    <row x14ac:dyDescent="0.25" r="207" customHeight="1" ht="18.75">
      <c r="A207" s="61">
        <v>22</v>
      </c>
      <c r="B207" s="60" t="s">
        <v>689</v>
      </c>
      <c r="C207" s="57" t="s">
        <v>775</v>
      </c>
      <c r="D207" s="57" t="s">
        <v>776</v>
      </c>
      <c r="E207" s="57" t="s">
        <v>777</v>
      </c>
      <c r="F207" s="57" t="s">
        <v>778</v>
      </c>
      <c r="G207" s="57" t="s">
        <v>23</v>
      </c>
      <c r="H207" s="58">
        <v>15.2</v>
      </c>
      <c r="I207" s="57" t="s">
        <v>779</v>
      </c>
      <c r="J207" s="57" t="s">
        <v>32</v>
      </c>
      <c r="K207" s="57" t="s">
        <v>59</v>
      </c>
      <c r="L207" s="45">
        <v>10</v>
      </c>
      <c r="M207" s="44">
        <f>H207*10000*0.25</f>
      </c>
      <c r="N207" s="44">
        <f>M207*L207</f>
      </c>
      <c r="O207" s="44">
        <f>M207*3</f>
      </c>
      <c r="P207" s="44">
        <f>M207*7*0.8</f>
      </c>
      <c r="Q207" s="44">
        <f>P207/70</f>
      </c>
      <c r="R207" s="44">
        <f>Q207*4</f>
      </c>
      <c r="S207" s="13"/>
      <c r="T207" s="13"/>
      <c r="U207" s="13"/>
      <c r="V207" s="18"/>
      <c r="W207" s="13"/>
    </row>
    <row x14ac:dyDescent="0.25" r="208" customHeight="1" ht="18.75">
      <c r="A208" s="55">
        <v>23</v>
      </c>
      <c r="B208" s="60" t="s">
        <v>689</v>
      </c>
      <c r="C208" s="57" t="s">
        <v>780</v>
      </c>
      <c r="D208" s="57" t="s">
        <v>691</v>
      </c>
      <c r="E208" s="57" t="s">
        <v>781</v>
      </c>
      <c r="F208" s="57" t="s">
        <v>782</v>
      </c>
      <c r="G208" s="57" t="s">
        <v>23</v>
      </c>
      <c r="H208" s="58">
        <v>4.5</v>
      </c>
      <c r="I208" s="57" t="s">
        <v>783</v>
      </c>
      <c r="J208" s="57" t="s">
        <v>695</v>
      </c>
      <c r="K208" s="57" t="s">
        <v>48</v>
      </c>
      <c r="L208" s="45">
        <v>10</v>
      </c>
      <c r="M208" s="44">
        <f>H208*10000*0.25</f>
      </c>
      <c r="N208" s="44">
        <f>M208*L208</f>
      </c>
      <c r="O208" s="44">
        <f>M208*3</f>
      </c>
      <c r="P208" s="44">
        <f>M208*7*0.8</f>
      </c>
      <c r="Q208" s="44">
        <f>P208/70</f>
      </c>
      <c r="R208" s="44">
        <f>Q208*4</f>
      </c>
      <c r="S208" s="13"/>
      <c r="T208" s="13"/>
      <c r="U208" s="13"/>
      <c r="V208" s="18"/>
      <c r="W208" s="13"/>
    </row>
    <row x14ac:dyDescent="0.25" r="209" customHeight="1" ht="43.5">
      <c r="A209" s="55">
        <v>24</v>
      </c>
      <c r="B209" s="60" t="s">
        <v>689</v>
      </c>
      <c r="C209" s="57" t="s">
        <v>784</v>
      </c>
      <c r="D209" s="57" t="s">
        <v>785</v>
      </c>
      <c r="E209" s="57" t="s">
        <v>668</v>
      </c>
      <c r="F209" s="57" t="s">
        <v>709</v>
      </c>
      <c r="G209" s="57" t="s">
        <v>23</v>
      </c>
      <c r="H209" s="58">
        <v>7.3</v>
      </c>
      <c r="I209" s="57" t="s">
        <v>786</v>
      </c>
      <c r="J209" s="57" t="s">
        <v>695</v>
      </c>
      <c r="K209" s="57" t="s">
        <v>59</v>
      </c>
      <c r="L209" s="45">
        <v>10</v>
      </c>
      <c r="M209" s="44">
        <f>H209*10000*0.25</f>
      </c>
      <c r="N209" s="44">
        <f>M209*L209</f>
      </c>
      <c r="O209" s="44">
        <f>M209*3</f>
      </c>
      <c r="P209" s="44">
        <f>M209*7*0.8</f>
      </c>
      <c r="Q209" s="44">
        <f>P209/70</f>
      </c>
      <c r="R209" s="44">
        <f>Q209*4</f>
      </c>
      <c r="S209" s="13"/>
      <c r="T209" s="13"/>
      <c r="U209" s="13"/>
      <c r="V209" s="18"/>
      <c r="W209" s="13"/>
    </row>
    <row x14ac:dyDescent="0.25" r="210" customHeight="1" ht="43.5">
      <c r="A210" s="55">
        <v>25</v>
      </c>
      <c r="B210" s="60" t="s">
        <v>689</v>
      </c>
      <c r="C210" s="57" t="s">
        <v>787</v>
      </c>
      <c r="D210" s="57" t="s">
        <v>788</v>
      </c>
      <c r="E210" s="57" t="s">
        <v>377</v>
      </c>
      <c r="F210" s="57" t="s">
        <v>709</v>
      </c>
      <c r="G210" s="57" t="s">
        <v>23</v>
      </c>
      <c r="H210" s="58">
        <v>6.5</v>
      </c>
      <c r="I210" s="57" t="s">
        <v>789</v>
      </c>
      <c r="J210" s="57" t="s">
        <v>695</v>
      </c>
      <c r="K210" s="57" t="s">
        <v>59</v>
      </c>
      <c r="L210" s="45">
        <v>10</v>
      </c>
      <c r="M210" s="44">
        <f>H210*10000*0.25</f>
      </c>
      <c r="N210" s="44">
        <f>M210*L210</f>
      </c>
      <c r="O210" s="44">
        <f>M210*3</f>
      </c>
      <c r="P210" s="44">
        <f>M210*7*0.8</f>
      </c>
      <c r="Q210" s="44">
        <f>P210/70</f>
      </c>
      <c r="R210" s="44">
        <f>Q210*4</f>
      </c>
      <c r="S210" s="13"/>
      <c r="T210" s="13"/>
      <c r="U210" s="13"/>
      <c r="V210" s="18"/>
      <c r="W210" s="13"/>
    </row>
    <row x14ac:dyDescent="0.25" r="211" customHeight="1" ht="18.75">
      <c r="A211" s="55">
        <v>26</v>
      </c>
      <c r="B211" s="60" t="s">
        <v>689</v>
      </c>
      <c r="C211" s="57" t="s">
        <v>790</v>
      </c>
      <c r="D211" s="57" t="s">
        <v>263</v>
      </c>
      <c r="E211" s="57" t="s">
        <v>377</v>
      </c>
      <c r="F211" s="57" t="s">
        <v>709</v>
      </c>
      <c r="G211" s="57" t="s">
        <v>23</v>
      </c>
      <c r="H211" s="58">
        <v>16.5</v>
      </c>
      <c r="I211" s="57" t="s">
        <v>791</v>
      </c>
      <c r="J211" s="57" t="s">
        <v>695</v>
      </c>
      <c r="K211" s="57" t="s">
        <v>59</v>
      </c>
      <c r="L211" s="45">
        <v>10</v>
      </c>
      <c r="M211" s="44">
        <f>H211*10000*0.25</f>
      </c>
      <c r="N211" s="44">
        <f>M211*L211</f>
      </c>
      <c r="O211" s="44">
        <f>M211*3</f>
      </c>
      <c r="P211" s="44">
        <f>M211*7*0.8</f>
      </c>
      <c r="Q211" s="44">
        <f>P211/70</f>
      </c>
      <c r="R211" s="44">
        <f>Q211*4</f>
      </c>
      <c r="S211" s="13"/>
      <c r="T211" s="13"/>
      <c r="U211" s="13"/>
      <c r="V211" s="18"/>
      <c r="W211" s="13"/>
    </row>
    <row x14ac:dyDescent="0.25" r="212" customHeight="1" ht="18.75">
      <c r="A212" s="55">
        <v>27</v>
      </c>
      <c r="B212" s="60" t="s">
        <v>689</v>
      </c>
      <c r="C212" s="57" t="s">
        <v>792</v>
      </c>
      <c r="D212" s="57" t="s">
        <v>269</v>
      </c>
      <c r="E212" s="57" t="s">
        <v>793</v>
      </c>
      <c r="F212" s="57" t="s">
        <v>794</v>
      </c>
      <c r="G212" s="57" t="s">
        <v>23</v>
      </c>
      <c r="H212" s="58">
        <v>20.3</v>
      </c>
      <c r="I212" s="57" t="s">
        <v>795</v>
      </c>
      <c r="J212" s="57" t="s">
        <v>25</v>
      </c>
      <c r="K212" s="57" t="s">
        <v>59</v>
      </c>
      <c r="L212" s="45">
        <v>10</v>
      </c>
      <c r="M212" s="44">
        <f>H212*10000*0.25</f>
      </c>
      <c r="N212" s="44">
        <f>M212*L212</f>
      </c>
      <c r="O212" s="44">
        <f>M212*3</f>
      </c>
      <c r="P212" s="44">
        <f>M212*7*0.8</f>
      </c>
      <c r="Q212" s="44">
        <f>P212/70</f>
      </c>
      <c r="R212" s="44">
        <f>Q212*4</f>
      </c>
      <c r="S212" s="13"/>
      <c r="T212" s="13"/>
      <c r="U212" s="13"/>
      <c r="V212" s="18"/>
      <c r="W212" s="13"/>
    </row>
    <row x14ac:dyDescent="0.25" r="213" customHeight="1" ht="18.75">
      <c r="A213" s="55">
        <v>28</v>
      </c>
      <c r="B213" s="60" t="s">
        <v>689</v>
      </c>
      <c r="C213" s="57" t="s">
        <v>796</v>
      </c>
      <c r="D213" s="57" t="s">
        <v>797</v>
      </c>
      <c r="E213" s="57" t="s">
        <v>798</v>
      </c>
      <c r="F213" s="57" t="s">
        <v>799</v>
      </c>
      <c r="G213" s="57" t="s">
        <v>23</v>
      </c>
      <c r="H213" s="58">
        <v>0.5</v>
      </c>
      <c r="I213" s="57" t="s">
        <v>800</v>
      </c>
      <c r="J213" s="57" t="s">
        <v>25</v>
      </c>
      <c r="K213" s="57" t="s">
        <v>48</v>
      </c>
      <c r="L213" s="45">
        <v>8</v>
      </c>
      <c r="M213" s="44">
        <f>H213*10000*0.25</f>
      </c>
      <c r="N213" s="44">
        <f>M213*L213</f>
      </c>
      <c r="O213" s="44">
        <f>M213*2</f>
      </c>
      <c r="P213" s="44">
        <f>M213*6*0.8</f>
      </c>
      <c r="Q213" s="44">
        <f>P213/70</f>
      </c>
      <c r="R213" s="44">
        <f>Q213*4</f>
      </c>
      <c r="S213" s="13"/>
      <c r="T213" s="13"/>
      <c r="U213" s="13"/>
      <c r="V213" s="18"/>
      <c r="W213" s="13"/>
    </row>
    <row x14ac:dyDescent="0.25" r="214" customHeight="1" ht="18.75">
      <c r="A214" s="55">
        <v>29</v>
      </c>
      <c r="B214" s="60" t="s">
        <v>689</v>
      </c>
      <c r="C214" s="57" t="s">
        <v>801</v>
      </c>
      <c r="D214" s="57" t="s">
        <v>802</v>
      </c>
      <c r="E214" s="57" t="s">
        <v>803</v>
      </c>
      <c r="F214" s="57" t="s">
        <v>804</v>
      </c>
      <c r="G214" s="57" t="s">
        <v>23</v>
      </c>
      <c r="H214" s="59">
        <v>8</v>
      </c>
      <c r="I214" s="57" t="s">
        <v>805</v>
      </c>
      <c r="J214" s="57" t="s">
        <v>25</v>
      </c>
      <c r="K214" s="57" t="s">
        <v>59</v>
      </c>
      <c r="L214" s="45">
        <v>12</v>
      </c>
      <c r="M214" s="44">
        <f>H214*10000*0.25</f>
      </c>
      <c r="N214" s="44">
        <f>M214*L214</f>
      </c>
      <c r="O214" s="44">
        <f>M214*2</f>
      </c>
      <c r="P214" s="44">
        <f>M214*10*0.8</f>
      </c>
      <c r="Q214" s="44">
        <f>P214/70</f>
      </c>
      <c r="R214" s="44">
        <f>Q214*4</f>
      </c>
      <c r="S214" s="13"/>
      <c r="T214" s="13"/>
      <c r="U214" s="13"/>
      <c r="V214" s="18"/>
      <c r="W214" s="13"/>
    </row>
    <row x14ac:dyDescent="0.25" r="215" customHeight="1" ht="18.75">
      <c r="A215" s="55">
        <v>30</v>
      </c>
      <c r="B215" s="60" t="s">
        <v>689</v>
      </c>
      <c r="C215" s="57" t="s">
        <v>806</v>
      </c>
      <c r="D215" s="57" t="s">
        <v>752</v>
      </c>
      <c r="E215" s="57" t="s">
        <v>807</v>
      </c>
      <c r="F215" s="57" t="s">
        <v>808</v>
      </c>
      <c r="G215" s="57" t="s">
        <v>23</v>
      </c>
      <c r="H215" s="58">
        <v>16.5</v>
      </c>
      <c r="I215" s="57" t="s">
        <v>809</v>
      </c>
      <c r="J215" s="57" t="s">
        <v>25</v>
      </c>
      <c r="K215" s="57" t="s">
        <v>59</v>
      </c>
      <c r="L215" s="45">
        <v>8</v>
      </c>
      <c r="M215" s="44">
        <f>H215*10000*0.25</f>
      </c>
      <c r="N215" s="44">
        <f>M215*L215</f>
      </c>
      <c r="O215" s="44">
        <f>M215*2</f>
      </c>
      <c r="P215" s="44">
        <f>M215*6*0.8</f>
      </c>
      <c r="Q215" s="44">
        <f>P215/70</f>
      </c>
      <c r="R215" s="44">
        <f>Q215*4</f>
      </c>
      <c r="S215" s="13"/>
      <c r="T215" s="13"/>
      <c r="U215" s="13"/>
      <c r="V215" s="18"/>
      <c r="W215" s="13"/>
    </row>
    <row x14ac:dyDescent="0.25" r="216" customHeight="1" ht="18.75">
      <c r="A216" s="55">
        <v>31</v>
      </c>
      <c r="B216" s="60" t="s">
        <v>689</v>
      </c>
      <c r="C216" s="57" t="s">
        <v>810</v>
      </c>
      <c r="D216" s="57" t="s">
        <v>811</v>
      </c>
      <c r="E216" s="57" t="s">
        <v>570</v>
      </c>
      <c r="F216" s="57" t="s">
        <v>812</v>
      </c>
      <c r="G216" s="57" t="s">
        <v>104</v>
      </c>
      <c r="H216" s="58">
        <v>0.05</v>
      </c>
      <c r="I216" s="57" t="s">
        <v>813</v>
      </c>
      <c r="J216" s="57" t="s">
        <v>25</v>
      </c>
      <c r="K216" s="57" t="s">
        <v>48</v>
      </c>
      <c r="L216" s="45">
        <v>5</v>
      </c>
      <c r="M216" s="44">
        <f>H216*10000</f>
      </c>
      <c r="N216" s="44">
        <f>M216*L216</f>
      </c>
      <c r="O216" s="44">
        <f>M216*L216</f>
      </c>
      <c r="P216" s="44">
        <v>0</v>
      </c>
      <c r="Q216" s="44">
        <f>P216/70</f>
      </c>
      <c r="R216" s="44">
        <f>Q216*4</f>
      </c>
      <c r="S216" s="13"/>
      <c r="T216" s="13"/>
      <c r="U216" s="13"/>
      <c r="V216" s="18"/>
      <c r="W216" s="13"/>
    </row>
    <row x14ac:dyDescent="0.25" r="217" customHeight="1" ht="18.75">
      <c r="A217" s="55">
        <v>32</v>
      </c>
      <c r="B217" s="60" t="s">
        <v>689</v>
      </c>
      <c r="C217" s="57" t="s">
        <v>814</v>
      </c>
      <c r="D217" s="57" t="s">
        <v>815</v>
      </c>
      <c r="E217" s="57" t="s">
        <v>798</v>
      </c>
      <c r="F217" s="57" t="s">
        <v>816</v>
      </c>
      <c r="G217" s="57" t="s">
        <v>23</v>
      </c>
      <c r="H217" s="58">
        <v>5.8</v>
      </c>
      <c r="I217" s="57" t="s">
        <v>817</v>
      </c>
      <c r="J217" s="57" t="s">
        <v>25</v>
      </c>
      <c r="K217" s="57" t="s">
        <v>48</v>
      </c>
      <c r="L217" s="45">
        <v>8</v>
      </c>
      <c r="M217" s="44">
        <f>H217*10000*0.25</f>
      </c>
      <c r="N217" s="44">
        <f>M217*L217</f>
      </c>
      <c r="O217" s="44">
        <f>M217*2</f>
      </c>
      <c r="P217" s="44">
        <f>M217*6*0.8</f>
      </c>
      <c r="Q217" s="44">
        <f>P217/70</f>
      </c>
      <c r="R217" s="44">
        <f>Q217*4</f>
      </c>
      <c r="S217" s="13"/>
      <c r="T217" s="13"/>
      <c r="U217" s="13"/>
      <c r="V217" s="18"/>
      <c r="W217" s="13"/>
    </row>
    <row x14ac:dyDescent="0.25" r="218" customHeight="1" ht="18.75">
      <c r="A218" s="55">
        <v>33</v>
      </c>
      <c r="B218" s="60" t="s">
        <v>689</v>
      </c>
      <c r="C218" s="57" t="s">
        <v>818</v>
      </c>
      <c r="D218" s="57" t="s">
        <v>819</v>
      </c>
      <c r="E218" s="57" t="s">
        <v>570</v>
      </c>
      <c r="F218" s="57" t="s">
        <v>820</v>
      </c>
      <c r="G218" s="57" t="s">
        <v>821</v>
      </c>
      <c r="H218" s="58">
        <v>1.13</v>
      </c>
      <c r="I218" s="57" t="s">
        <v>822</v>
      </c>
      <c r="J218" s="57" t="s">
        <v>25</v>
      </c>
      <c r="K218" s="57" t="s">
        <v>48</v>
      </c>
      <c r="L218" s="45">
        <v>5</v>
      </c>
      <c r="M218" s="44">
        <f>H218*10000*0.25</f>
      </c>
      <c r="N218" s="44">
        <f>M218*L218</f>
      </c>
      <c r="O218" s="44">
        <f>M218*L218</f>
      </c>
      <c r="P218" s="44">
        <v>0</v>
      </c>
      <c r="Q218" s="44">
        <f>P218/70</f>
      </c>
      <c r="R218" s="44">
        <f>Q218*4</f>
      </c>
      <c r="S218" s="13"/>
      <c r="T218" s="13"/>
      <c r="U218" s="13"/>
      <c r="V218" s="18"/>
      <c r="W218" s="13"/>
    </row>
    <row x14ac:dyDescent="0.25" r="219" customHeight="1" ht="18.75">
      <c r="A219" s="55">
        <v>34</v>
      </c>
      <c r="B219" s="60" t="s">
        <v>689</v>
      </c>
      <c r="C219" s="57" t="s">
        <v>823</v>
      </c>
      <c r="D219" s="57" t="s">
        <v>337</v>
      </c>
      <c r="E219" s="57" t="s">
        <v>21</v>
      </c>
      <c r="F219" s="57" t="s">
        <v>713</v>
      </c>
      <c r="G219" s="57" t="s">
        <v>23</v>
      </c>
      <c r="H219" s="58">
        <v>13.2</v>
      </c>
      <c r="I219" s="57" t="s">
        <v>824</v>
      </c>
      <c r="J219" s="57" t="s">
        <v>25</v>
      </c>
      <c r="K219" s="57" t="s">
        <v>59</v>
      </c>
      <c r="L219" s="45">
        <v>10</v>
      </c>
      <c r="M219" s="44">
        <f>H219*10000*0.25</f>
      </c>
      <c r="N219" s="44">
        <f>M219*L219</f>
      </c>
      <c r="O219" s="44">
        <f>M219*3</f>
      </c>
      <c r="P219" s="44">
        <f>M219*7*0.8</f>
      </c>
      <c r="Q219" s="44">
        <f>P219/70</f>
      </c>
      <c r="R219" s="44">
        <f>Q219*4</f>
      </c>
      <c r="S219" s="13"/>
      <c r="T219" s="13"/>
      <c r="U219" s="13"/>
      <c r="V219" s="18"/>
      <c r="W219" s="13"/>
    </row>
    <row x14ac:dyDescent="0.25" r="220" customHeight="1" ht="18.75">
      <c r="A220" s="55">
        <v>35</v>
      </c>
      <c r="B220" s="60" t="s">
        <v>689</v>
      </c>
      <c r="C220" s="57" t="s">
        <v>825</v>
      </c>
      <c r="D220" s="57" t="s">
        <v>826</v>
      </c>
      <c r="E220" s="57" t="s">
        <v>67</v>
      </c>
      <c r="F220" s="57" t="s">
        <v>827</v>
      </c>
      <c r="G220" s="57" t="s">
        <v>23</v>
      </c>
      <c r="H220" s="59">
        <v>28</v>
      </c>
      <c r="I220" s="57" t="s">
        <v>828</v>
      </c>
      <c r="J220" s="57" t="s">
        <v>25</v>
      </c>
      <c r="K220" s="57" t="s">
        <v>59</v>
      </c>
      <c r="L220" s="45">
        <v>8</v>
      </c>
      <c r="M220" s="44">
        <f>H220*10000*0.25</f>
      </c>
      <c r="N220" s="44">
        <f>M220*L220</f>
      </c>
      <c r="O220" s="44">
        <f>M220*2</f>
      </c>
      <c r="P220" s="44">
        <f>M220*6*0.8</f>
      </c>
      <c r="Q220" s="44">
        <f>P220/70</f>
      </c>
      <c r="R220" s="44">
        <f>Q220*4</f>
      </c>
      <c r="S220" s="13"/>
      <c r="T220" s="13"/>
      <c r="U220" s="13"/>
      <c r="V220" s="18"/>
      <c r="W220" s="13"/>
    </row>
    <row x14ac:dyDescent="0.25" r="221" customHeight="1" ht="18.75">
      <c r="A221" s="55">
        <v>36</v>
      </c>
      <c r="B221" s="60" t="s">
        <v>689</v>
      </c>
      <c r="C221" s="57" t="s">
        <v>829</v>
      </c>
      <c r="D221" s="57" t="s">
        <v>337</v>
      </c>
      <c r="E221" s="57" t="s">
        <v>570</v>
      </c>
      <c r="F221" s="57" t="s">
        <v>820</v>
      </c>
      <c r="G221" s="57" t="s">
        <v>821</v>
      </c>
      <c r="H221" s="58">
        <v>0.25</v>
      </c>
      <c r="I221" s="57" t="s">
        <v>830</v>
      </c>
      <c r="J221" s="57" t="s">
        <v>25</v>
      </c>
      <c r="K221" s="57" t="s">
        <v>48</v>
      </c>
      <c r="L221" s="45">
        <v>5</v>
      </c>
      <c r="M221" s="44">
        <f>H221*10000*0.25</f>
      </c>
      <c r="N221" s="44">
        <f>M221*L221</f>
      </c>
      <c r="O221" s="44">
        <f>M221*L221</f>
      </c>
      <c r="P221" s="44">
        <v>0</v>
      </c>
      <c r="Q221" s="44">
        <f>P221/70</f>
      </c>
      <c r="R221" s="44">
        <f>Q221*4</f>
      </c>
      <c r="S221" s="13"/>
      <c r="T221" s="13"/>
      <c r="U221" s="13"/>
      <c r="V221" s="18"/>
      <c r="W221" s="13"/>
    </row>
    <row x14ac:dyDescent="0.25" r="222" customHeight="1" ht="18.75">
      <c r="A222" s="55">
        <v>37</v>
      </c>
      <c r="B222" s="60" t="s">
        <v>689</v>
      </c>
      <c r="C222" s="57" t="s">
        <v>831</v>
      </c>
      <c r="D222" s="57" t="s">
        <v>337</v>
      </c>
      <c r="E222" s="57" t="s">
        <v>832</v>
      </c>
      <c r="F222" s="57" t="s">
        <v>833</v>
      </c>
      <c r="G222" s="57" t="s">
        <v>821</v>
      </c>
      <c r="H222" s="59">
        <v>68</v>
      </c>
      <c r="I222" s="62" t="s">
        <v>834</v>
      </c>
      <c r="J222" s="57" t="s">
        <v>25</v>
      </c>
      <c r="K222" s="57" t="s">
        <v>48</v>
      </c>
      <c r="L222" s="45">
        <v>5</v>
      </c>
      <c r="M222" s="44">
        <f>H222*10000*0.25</f>
      </c>
      <c r="N222" s="44">
        <f>M222*L222</f>
      </c>
      <c r="O222" s="44">
        <f>M222*L222</f>
      </c>
      <c r="P222" s="44">
        <v>0</v>
      </c>
      <c r="Q222" s="44">
        <f>P222/70</f>
      </c>
      <c r="R222" s="44">
        <f>Q222*4</f>
      </c>
      <c r="S222" s="13"/>
      <c r="T222" s="13"/>
      <c r="U222" s="13"/>
      <c r="V222" s="18"/>
      <c r="W222" s="13"/>
    </row>
    <row x14ac:dyDescent="0.25" r="223" customHeight="1" ht="18.75">
      <c r="A223" s="55">
        <v>38</v>
      </c>
      <c r="B223" s="60" t="s">
        <v>689</v>
      </c>
      <c r="C223" s="57" t="s">
        <v>831</v>
      </c>
      <c r="D223" s="57" t="s">
        <v>337</v>
      </c>
      <c r="E223" s="57" t="s">
        <v>570</v>
      </c>
      <c r="F223" s="57" t="s">
        <v>835</v>
      </c>
      <c r="G223" s="57" t="s">
        <v>23</v>
      </c>
      <c r="H223" s="59">
        <v>2</v>
      </c>
      <c r="I223" s="57" t="s">
        <v>836</v>
      </c>
      <c r="J223" s="57" t="s">
        <v>25</v>
      </c>
      <c r="K223" s="57" t="s">
        <v>48</v>
      </c>
      <c r="L223" s="45">
        <v>4</v>
      </c>
      <c r="M223" s="44">
        <f>H223*10000*0.25</f>
      </c>
      <c r="N223" s="44">
        <f>M223*L223</f>
      </c>
      <c r="O223" s="44">
        <f>M223*1</f>
      </c>
      <c r="P223" s="44">
        <f>M223*3*0.8</f>
      </c>
      <c r="Q223" s="44">
        <f>P223/70</f>
      </c>
      <c r="R223" s="44">
        <f>Q223*4</f>
      </c>
      <c r="S223" s="13"/>
      <c r="T223" s="13"/>
      <c r="U223" s="13"/>
      <c r="V223" s="18"/>
      <c r="W223" s="13"/>
    </row>
    <row x14ac:dyDescent="0.25" r="224" customHeight="1" ht="18.75">
      <c r="A224" s="55">
        <v>39</v>
      </c>
      <c r="B224" s="60" t="s">
        <v>689</v>
      </c>
      <c r="C224" s="57" t="s">
        <v>837</v>
      </c>
      <c r="D224" s="57" t="s">
        <v>337</v>
      </c>
      <c r="E224" s="57" t="s">
        <v>622</v>
      </c>
      <c r="F224" s="57" t="s">
        <v>838</v>
      </c>
      <c r="G224" s="57" t="s">
        <v>147</v>
      </c>
      <c r="H224" s="58">
        <v>0.5</v>
      </c>
      <c r="I224" s="57" t="s">
        <v>839</v>
      </c>
      <c r="J224" s="57" t="s">
        <v>25</v>
      </c>
      <c r="K224" s="57" t="s">
        <v>48</v>
      </c>
      <c r="L224" s="45">
        <v>4</v>
      </c>
      <c r="M224" s="44">
        <f>H224*10000*0.25</f>
      </c>
      <c r="N224" s="44">
        <f>M224*L224</f>
      </c>
      <c r="O224" s="44">
        <f>M224*L224</f>
      </c>
      <c r="P224" s="44">
        <v>0</v>
      </c>
      <c r="Q224" s="44">
        <f>P224/70</f>
      </c>
      <c r="R224" s="44">
        <f>Q224*4</f>
      </c>
      <c r="S224" s="13"/>
      <c r="T224" s="13"/>
      <c r="U224" s="13"/>
      <c r="V224" s="18"/>
      <c r="W224" s="13"/>
    </row>
    <row x14ac:dyDescent="0.25" r="225" customHeight="1" ht="49.5">
      <c r="A225" s="27" t="s">
        <v>840</v>
      </c>
      <c r="B225" s="63" t="s">
        <v>689</v>
      </c>
      <c r="C225" s="37" t="s">
        <v>841</v>
      </c>
      <c r="D225" s="37"/>
      <c r="E225" s="37" t="s">
        <v>21</v>
      </c>
      <c r="F225" s="37" t="s">
        <v>842</v>
      </c>
      <c r="G225" s="37" t="s">
        <v>643</v>
      </c>
      <c r="H225" s="38">
        <v>9.3</v>
      </c>
      <c r="I225" s="37" t="s">
        <v>843</v>
      </c>
      <c r="J225" s="37" t="s">
        <v>25</v>
      </c>
      <c r="K225" s="37" t="s">
        <v>48</v>
      </c>
      <c r="L225" s="45">
        <v>16</v>
      </c>
      <c r="M225" s="23">
        <f>H225*10000*0.25</f>
      </c>
      <c r="N225" s="23">
        <f>M225*L225</f>
      </c>
      <c r="O225" s="23">
        <f>M225*L225</f>
      </c>
      <c r="P225" s="23">
        <v>0</v>
      </c>
      <c r="Q225" s="23">
        <f>P225/70</f>
      </c>
      <c r="R225" s="23">
        <f>Q225*4</f>
      </c>
      <c r="S225" s="13"/>
      <c r="T225" s="13"/>
      <c r="U225" s="13"/>
      <c r="V225" s="18"/>
      <c r="W225" s="13"/>
    </row>
    <row x14ac:dyDescent="0.25" r="226" customHeight="1" ht="49.5">
      <c r="A226" s="27" t="s">
        <v>844</v>
      </c>
      <c r="B226" s="63" t="s">
        <v>689</v>
      </c>
      <c r="C226" s="37" t="s">
        <v>845</v>
      </c>
      <c r="D226" s="37"/>
      <c r="E226" s="37" t="s">
        <v>846</v>
      </c>
      <c r="F226" s="37" t="s">
        <v>847</v>
      </c>
      <c r="G226" s="37" t="s">
        <v>643</v>
      </c>
      <c r="H226" s="38">
        <v>0.4</v>
      </c>
      <c r="I226" s="37" t="s">
        <v>848</v>
      </c>
      <c r="J226" s="37" t="s">
        <v>25</v>
      </c>
      <c r="K226" s="37" t="s">
        <v>48</v>
      </c>
      <c r="L226" s="45">
        <v>10</v>
      </c>
      <c r="M226" s="23">
        <f>H226*10000*0.25</f>
      </c>
      <c r="N226" s="23">
        <f>M226*L226</f>
      </c>
      <c r="O226" s="23">
        <f>M226*L226</f>
      </c>
      <c r="P226" s="23">
        <v>0</v>
      </c>
      <c r="Q226" s="23">
        <f>P226/70</f>
      </c>
      <c r="R226" s="23">
        <f>Q226*4</f>
      </c>
      <c r="S226" s="13"/>
      <c r="T226" s="13"/>
      <c r="U226" s="13"/>
      <c r="V226" s="18"/>
      <c r="W226" s="13"/>
    </row>
    <row x14ac:dyDescent="0.25" r="227" customHeight="1" ht="18.75">
      <c r="A227" s="64">
        <v>1</v>
      </c>
      <c r="B227" s="65" t="s">
        <v>849</v>
      </c>
      <c r="C227" s="65" t="s">
        <v>850</v>
      </c>
      <c r="D227" s="65" t="s">
        <v>559</v>
      </c>
      <c r="E227" s="65" t="s">
        <v>575</v>
      </c>
      <c r="F227" s="65" t="s">
        <v>851</v>
      </c>
      <c r="G227" s="65" t="s">
        <v>23</v>
      </c>
      <c r="H227" s="66">
        <v>26.5</v>
      </c>
      <c r="I227" s="65" t="s">
        <v>852</v>
      </c>
      <c r="J227" s="65" t="s">
        <v>32</v>
      </c>
      <c r="K227" s="65" t="s">
        <v>59</v>
      </c>
      <c r="L227" s="45">
        <v>10</v>
      </c>
      <c r="M227" s="67">
        <f>H227*10000*0.25</f>
      </c>
      <c r="N227" s="67">
        <f>M227*L227</f>
      </c>
      <c r="O227" s="67">
        <f>M227*2</f>
      </c>
      <c r="P227" s="67">
        <f>M227*8*0.8</f>
      </c>
      <c r="Q227" s="67">
        <f>P227/70</f>
      </c>
      <c r="R227" s="67">
        <f>Q227*4</f>
      </c>
      <c r="S227" s="13"/>
      <c r="T227" s="13"/>
      <c r="U227" s="13"/>
      <c r="V227" s="18"/>
      <c r="W227" s="13"/>
    </row>
    <row x14ac:dyDescent="0.25" r="228" customHeight="1" ht="18.75">
      <c r="A228" s="64">
        <v>2</v>
      </c>
      <c r="B228" s="65" t="s">
        <v>849</v>
      </c>
      <c r="C228" s="65" t="s">
        <v>853</v>
      </c>
      <c r="D228" s="65" t="s">
        <v>854</v>
      </c>
      <c r="E228" s="65" t="s">
        <v>575</v>
      </c>
      <c r="F228" s="65" t="s">
        <v>855</v>
      </c>
      <c r="G228" s="65" t="s">
        <v>23</v>
      </c>
      <c r="H228" s="66">
        <v>6.2</v>
      </c>
      <c r="I228" s="65" t="s">
        <v>856</v>
      </c>
      <c r="J228" s="65" t="s">
        <v>32</v>
      </c>
      <c r="K228" s="65" t="s">
        <v>59</v>
      </c>
      <c r="L228" s="45">
        <v>13</v>
      </c>
      <c r="M228" s="67">
        <f>H228*10000*0.25</f>
      </c>
      <c r="N228" s="67">
        <f>M228*L228</f>
      </c>
      <c r="O228" s="67">
        <f>M228*3</f>
      </c>
      <c r="P228" s="67">
        <f>M228*10*0.8</f>
      </c>
      <c r="Q228" s="67">
        <f>P228/70</f>
      </c>
      <c r="R228" s="67">
        <f>Q228*4</f>
      </c>
      <c r="S228" s="13"/>
      <c r="T228" s="13"/>
      <c r="U228" s="13"/>
      <c r="V228" s="18"/>
      <c r="W228" s="13"/>
    </row>
    <row x14ac:dyDescent="0.25" r="229" customHeight="1" ht="18.75">
      <c r="A229" s="64">
        <v>3</v>
      </c>
      <c r="B229" s="65" t="s">
        <v>849</v>
      </c>
      <c r="C229" s="65" t="s">
        <v>857</v>
      </c>
      <c r="D229" s="65" t="s">
        <v>858</v>
      </c>
      <c r="E229" s="65" t="s">
        <v>575</v>
      </c>
      <c r="F229" s="65" t="s">
        <v>855</v>
      </c>
      <c r="G229" s="65" t="s">
        <v>23</v>
      </c>
      <c r="H229" s="66">
        <v>5.82</v>
      </c>
      <c r="I229" s="65" t="s">
        <v>859</v>
      </c>
      <c r="J229" s="65" t="s">
        <v>32</v>
      </c>
      <c r="K229" s="65" t="s">
        <v>59</v>
      </c>
      <c r="L229" s="45">
        <v>13</v>
      </c>
      <c r="M229" s="67">
        <f>H229*10000*0.25</f>
      </c>
      <c r="N229" s="67">
        <f>M229*L229</f>
      </c>
      <c r="O229" s="67">
        <f>M229*3</f>
      </c>
      <c r="P229" s="67">
        <f>M229*10*0.8</f>
      </c>
      <c r="Q229" s="67">
        <f>P229/70</f>
      </c>
      <c r="R229" s="67">
        <f>Q229*4</f>
      </c>
      <c r="S229" s="13"/>
      <c r="T229" s="13"/>
      <c r="U229" s="13"/>
      <c r="V229" s="18"/>
      <c r="W229" s="13"/>
    </row>
    <row x14ac:dyDescent="0.25" r="230" customHeight="1" ht="18.75">
      <c r="A230" s="64">
        <v>4</v>
      </c>
      <c r="B230" s="65" t="s">
        <v>849</v>
      </c>
      <c r="C230" s="65" t="s">
        <v>860</v>
      </c>
      <c r="D230" s="65" t="s">
        <v>861</v>
      </c>
      <c r="E230" s="65" t="s">
        <v>641</v>
      </c>
      <c r="F230" s="65" t="s">
        <v>855</v>
      </c>
      <c r="G230" s="65" t="s">
        <v>23</v>
      </c>
      <c r="H230" s="66">
        <v>1.89</v>
      </c>
      <c r="I230" s="65" t="s">
        <v>862</v>
      </c>
      <c r="J230" s="65" t="s">
        <v>32</v>
      </c>
      <c r="K230" s="65" t="s">
        <v>48</v>
      </c>
      <c r="L230" s="45">
        <v>10</v>
      </c>
      <c r="M230" s="67">
        <f>H230*10000*0.25</f>
      </c>
      <c r="N230" s="67">
        <f>M230*L230</f>
      </c>
      <c r="O230" s="67">
        <f>M230*2</f>
      </c>
      <c r="P230" s="67">
        <f>M230*8*0.8</f>
      </c>
      <c r="Q230" s="67">
        <f>P230/70</f>
      </c>
      <c r="R230" s="67">
        <f>Q230*4</f>
      </c>
      <c r="S230" s="13"/>
      <c r="T230" s="13"/>
      <c r="U230" s="13"/>
      <c r="V230" s="18"/>
      <c r="W230" s="13"/>
    </row>
    <row x14ac:dyDescent="0.25" r="231" customHeight="1" ht="18.75">
      <c r="A231" s="64">
        <v>5</v>
      </c>
      <c r="B231" s="65" t="s">
        <v>849</v>
      </c>
      <c r="C231" s="65" t="s">
        <v>863</v>
      </c>
      <c r="D231" s="65" t="s">
        <v>864</v>
      </c>
      <c r="E231" s="65" t="s">
        <v>575</v>
      </c>
      <c r="F231" s="65" t="s">
        <v>855</v>
      </c>
      <c r="G231" s="65" t="s">
        <v>23</v>
      </c>
      <c r="H231" s="66">
        <v>3.25</v>
      </c>
      <c r="I231" s="65" t="s">
        <v>865</v>
      </c>
      <c r="J231" s="65" t="s">
        <v>25</v>
      </c>
      <c r="K231" s="65" t="s">
        <v>866</v>
      </c>
      <c r="L231" s="45">
        <v>13</v>
      </c>
      <c r="M231" s="67">
        <f>H231*10000*0.25</f>
      </c>
      <c r="N231" s="67">
        <f>M231*L231</f>
      </c>
      <c r="O231" s="67">
        <f>M231*3</f>
      </c>
      <c r="P231" s="67">
        <f>M231*10*0.8</f>
      </c>
      <c r="Q231" s="67">
        <f>P231/70</f>
      </c>
      <c r="R231" s="67">
        <f>Q231*4</f>
      </c>
      <c r="S231" s="13"/>
      <c r="T231" s="13"/>
      <c r="U231" s="13"/>
      <c r="V231" s="18"/>
      <c r="W231" s="13"/>
    </row>
    <row x14ac:dyDescent="0.25" r="232" customHeight="1" ht="18.75">
      <c r="A232" s="64">
        <v>6</v>
      </c>
      <c r="B232" s="65" t="s">
        <v>849</v>
      </c>
      <c r="C232" s="65" t="s">
        <v>867</v>
      </c>
      <c r="D232" s="65" t="s">
        <v>868</v>
      </c>
      <c r="E232" s="65" t="s">
        <v>869</v>
      </c>
      <c r="F232" s="65" t="s">
        <v>855</v>
      </c>
      <c r="G232" s="65" t="s">
        <v>23</v>
      </c>
      <c r="H232" s="66">
        <v>0.92</v>
      </c>
      <c r="I232" s="65" t="s">
        <v>870</v>
      </c>
      <c r="J232" s="65" t="s">
        <v>25</v>
      </c>
      <c r="K232" s="65" t="s">
        <v>866</v>
      </c>
      <c r="L232" s="45">
        <v>9</v>
      </c>
      <c r="M232" s="67">
        <f>H232*10000*0.25</f>
      </c>
      <c r="N232" s="67">
        <f>M232*L232</f>
      </c>
      <c r="O232" s="67">
        <f>M232*2</f>
      </c>
      <c r="P232" s="67">
        <f>M232*7*0.8</f>
      </c>
      <c r="Q232" s="67">
        <f>P232/70</f>
      </c>
      <c r="R232" s="67">
        <f>Q232*4</f>
      </c>
      <c r="S232" s="13"/>
      <c r="T232" s="13"/>
      <c r="U232" s="13"/>
      <c r="V232" s="18"/>
      <c r="W232" s="13"/>
    </row>
    <row x14ac:dyDescent="0.25" r="233" customHeight="1" ht="18.75">
      <c r="A233" s="64">
        <v>7</v>
      </c>
      <c r="B233" s="65" t="s">
        <v>849</v>
      </c>
      <c r="C233" s="65" t="s">
        <v>871</v>
      </c>
      <c r="D233" s="65" t="s">
        <v>872</v>
      </c>
      <c r="E233" s="65" t="s">
        <v>873</v>
      </c>
      <c r="F233" s="65" t="s">
        <v>874</v>
      </c>
      <c r="G233" s="65" t="s">
        <v>23</v>
      </c>
      <c r="H233" s="66">
        <v>66.7</v>
      </c>
      <c r="I233" s="65" t="s">
        <v>875</v>
      </c>
      <c r="J233" s="65" t="s">
        <v>25</v>
      </c>
      <c r="K233" s="65" t="s">
        <v>866</v>
      </c>
      <c r="L233" s="45">
        <v>7</v>
      </c>
      <c r="M233" s="67">
        <f>H233*10000*0.25</f>
      </c>
      <c r="N233" s="67">
        <f>M233*L233</f>
      </c>
      <c r="O233" s="67">
        <f>M233*2</f>
      </c>
      <c r="P233" s="67">
        <f>M233*5*0.8</f>
      </c>
      <c r="Q233" s="67">
        <f>P233/70</f>
      </c>
      <c r="R233" s="67">
        <f>Q233*4</f>
      </c>
      <c r="S233" s="13"/>
      <c r="T233" s="13"/>
      <c r="U233" s="13"/>
      <c r="V233" s="18"/>
      <c r="W233" s="13"/>
    </row>
    <row x14ac:dyDescent="0.25" r="234" customHeight="1" ht="18.75">
      <c r="A234" s="64">
        <v>8</v>
      </c>
      <c r="B234" s="65" t="s">
        <v>849</v>
      </c>
      <c r="C234" s="65" t="s">
        <v>876</v>
      </c>
      <c r="D234" s="65" t="s">
        <v>864</v>
      </c>
      <c r="E234" s="65" t="s">
        <v>564</v>
      </c>
      <c r="F234" s="65" t="s">
        <v>877</v>
      </c>
      <c r="G234" s="65" t="s">
        <v>353</v>
      </c>
      <c r="H234" s="64">
        <v>5</v>
      </c>
      <c r="I234" s="65" t="s">
        <v>878</v>
      </c>
      <c r="J234" s="65" t="s">
        <v>879</v>
      </c>
      <c r="K234" s="65" t="s">
        <v>48</v>
      </c>
      <c r="L234" s="45">
        <v>5</v>
      </c>
      <c r="M234" s="67">
        <f>H234*10000*0.25</f>
      </c>
      <c r="N234" s="67">
        <f>M234*L234</f>
      </c>
      <c r="O234" s="67">
        <f>M234*5</f>
      </c>
      <c r="P234" s="67">
        <v>0</v>
      </c>
      <c r="Q234" s="67">
        <f>P234/70</f>
      </c>
      <c r="R234" s="67">
        <f>Q234*4</f>
      </c>
      <c r="S234" s="13"/>
      <c r="T234" s="13"/>
      <c r="U234" s="13"/>
      <c r="V234" s="18"/>
      <c r="W234" s="13"/>
    </row>
    <row x14ac:dyDescent="0.25" r="235" customHeight="1" ht="18.75">
      <c r="A235" s="64">
        <v>9</v>
      </c>
      <c r="B235" s="65" t="s">
        <v>849</v>
      </c>
      <c r="C235" s="65" t="s">
        <v>880</v>
      </c>
      <c r="D235" s="65" t="s">
        <v>864</v>
      </c>
      <c r="E235" s="65" t="s">
        <v>564</v>
      </c>
      <c r="F235" s="65" t="s">
        <v>881</v>
      </c>
      <c r="G235" s="65" t="s">
        <v>882</v>
      </c>
      <c r="H235" s="66">
        <v>3.75</v>
      </c>
      <c r="I235" s="65" t="s">
        <v>883</v>
      </c>
      <c r="J235" s="65" t="s">
        <v>884</v>
      </c>
      <c r="K235" s="65" t="s">
        <v>48</v>
      </c>
      <c r="L235" s="45">
        <v>5</v>
      </c>
      <c r="M235" s="67">
        <f>H235*10000*0.25</f>
      </c>
      <c r="N235" s="67">
        <f>M235*L235</f>
      </c>
      <c r="O235" s="67">
        <f>M235*5</f>
      </c>
      <c r="P235" s="67">
        <v>0</v>
      </c>
      <c r="Q235" s="67">
        <f>P235/70</f>
      </c>
      <c r="R235" s="67">
        <f>Q235*4</f>
      </c>
      <c r="S235" s="13"/>
      <c r="T235" s="13"/>
      <c r="U235" s="13"/>
      <c r="V235" s="18"/>
      <c r="W235" s="13"/>
    </row>
    <row x14ac:dyDescent="0.25" r="236" customHeight="1" ht="18.75">
      <c r="A236" s="64">
        <v>10</v>
      </c>
      <c r="B236" s="65" t="s">
        <v>849</v>
      </c>
      <c r="C236" s="65" t="s">
        <v>885</v>
      </c>
      <c r="D236" s="65" t="s">
        <v>886</v>
      </c>
      <c r="E236" s="65" t="s">
        <v>575</v>
      </c>
      <c r="F236" s="65" t="s">
        <v>874</v>
      </c>
      <c r="G236" s="65" t="s">
        <v>23</v>
      </c>
      <c r="H236" s="66">
        <v>9.73</v>
      </c>
      <c r="I236" s="65" t="s">
        <v>887</v>
      </c>
      <c r="J236" s="65" t="s">
        <v>32</v>
      </c>
      <c r="K236" s="65" t="s">
        <v>59</v>
      </c>
      <c r="L236" s="45">
        <v>13</v>
      </c>
      <c r="M236" s="67">
        <f>H236*10000*0.25</f>
      </c>
      <c r="N236" s="67">
        <f>M236*L236</f>
      </c>
      <c r="O236" s="67">
        <f>M236*3</f>
      </c>
      <c r="P236" s="67">
        <f>M236*10*0.8</f>
      </c>
      <c r="Q236" s="67">
        <f>P236/70</f>
      </c>
      <c r="R236" s="67">
        <f>Q236*4</f>
      </c>
      <c r="S236" s="13"/>
      <c r="T236" s="13"/>
      <c r="U236" s="13"/>
      <c r="V236" s="18"/>
      <c r="W236" s="13"/>
    </row>
    <row x14ac:dyDescent="0.25" r="237" customHeight="1" ht="115.5">
      <c r="A237" s="64">
        <v>11</v>
      </c>
      <c r="B237" s="65" t="s">
        <v>849</v>
      </c>
      <c r="C237" s="65" t="s">
        <v>888</v>
      </c>
      <c r="D237" s="65" t="s">
        <v>889</v>
      </c>
      <c r="E237" s="65" t="s">
        <v>890</v>
      </c>
      <c r="F237" s="65" t="s">
        <v>874</v>
      </c>
      <c r="G237" s="65" t="s">
        <v>23</v>
      </c>
      <c r="H237" s="66">
        <v>2.4</v>
      </c>
      <c r="I237" s="65" t="s">
        <v>891</v>
      </c>
      <c r="J237" s="65" t="s">
        <v>32</v>
      </c>
      <c r="K237" s="65" t="s">
        <v>48</v>
      </c>
      <c r="L237" s="45">
        <v>24</v>
      </c>
      <c r="M237" s="67">
        <f>H237*10000*0.25</f>
      </c>
      <c r="N237" s="67">
        <f>M237*L237</f>
      </c>
      <c r="O237" s="67">
        <f>M237*10</f>
      </c>
      <c r="P237" s="67">
        <f>M237*14*0.8</f>
      </c>
      <c r="Q237" s="67">
        <f>P237/70</f>
      </c>
      <c r="R237" s="67">
        <f>Q237*4</f>
      </c>
      <c r="S237" s="13"/>
      <c r="T237" s="13"/>
      <c r="U237" s="13"/>
      <c r="V237" s="18"/>
      <c r="W237" s="13"/>
    </row>
    <row x14ac:dyDescent="0.25" r="238" customHeight="1" ht="18.75">
      <c r="A238" s="64">
        <v>12</v>
      </c>
      <c r="B238" s="65" t="s">
        <v>849</v>
      </c>
      <c r="C238" s="65" t="s">
        <v>892</v>
      </c>
      <c r="D238" s="65" t="s">
        <v>893</v>
      </c>
      <c r="E238" s="65" t="s">
        <v>890</v>
      </c>
      <c r="F238" s="65" t="s">
        <v>894</v>
      </c>
      <c r="G238" s="65" t="s">
        <v>23</v>
      </c>
      <c r="H238" s="66">
        <v>0.29</v>
      </c>
      <c r="I238" s="65" t="s">
        <v>895</v>
      </c>
      <c r="J238" s="65" t="s">
        <v>25</v>
      </c>
      <c r="K238" s="65" t="s">
        <v>866</v>
      </c>
      <c r="L238" s="45">
        <v>20</v>
      </c>
      <c r="M238" s="67">
        <f>H238*10000*0.25</f>
      </c>
      <c r="N238" s="67">
        <f>M238*L238</f>
      </c>
      <c r="O238" s="67">
        <f>M238*6</f>
      </c>
      <c r="P238" s="67">
        <f>M238*14*0.8</f>
      </c>
      <c r="Q238" s="67">
        <f>P238/70</f>
      </c>
      <c r="R238" s="67">
        <f>Q238*4</f>
      </c>
      <c r="S238" s="13"/>
      <c r="T238" s="13"/>
      <c r="U238" s="13"/>
      <c r="V238" s="18"/>
      <c r="W238" s="13"/>
    </row>
    <row x14ac:dyDescent="0.25" r="239" customHeight="1" ht="18.75">
      <c r="A239" s="64">
        <v>13</v>
      </c>
      <c r="B239" s="65" t="s">
        <v>849</v>
      </c>
      <c r="C239" s="65" t="s">
        <v>896</v>
      </c>
      <c r="D239" s="65" t="s">
        <v>897</v>
      </c>
      <c r="E239" s="65" t="s">
        <v>898</v>
      </c>
      <c r="F239" s="65" t="s">
        <v>894</v>
      </c>
      <c r="G239" s="65" t="s">
        <v>23</v>
      </c>
      <c r="H239" s="66">
        <v>0.12</v>
      </c>
      <c r="I239" s="65" t="s">
        <v>899</v>
      </c>
      <c r="J239" s="65" t="s">
        <v>32</v>
      </c>
      <c r="K239" s="65" t="s">
        <v>59</v>
      </c>
      <c r="L239" s="45">
        <v>9</v>
      </c>
      <c r="M239" s="67">
        <f>H239*10000*0.25</f>
      </c>
      <c r="N239" s="67">
        <f>M239*L239</f>
      </c>
      <c r="O239" s="67">
        <f>M239*2</f>
      </c>
      <c r="P239" s="67">
        <f>M239*7*0.8</f>
      </c>
      <c r="Q239" s="67">
        <f>P239/70</f>
      </c>
      <c r="R239" s="67">
        <f>Q239*4</f>
      </c>
      <c r="S239" s="13"/>
      <c r="T239" s="13"/>
      <c r="U239" s="13"/>
      <c r="V239" s="18"/>
      <c r="W239" s="13"/>
    </row>
    <row x14ac:dyDescent="0.25" r="240" customHeight="1" ht="18.75">
      <c r="A240" s="64">
        <v>14</v>
      </c>
      <c r="B240" s="65" t="s">
        <v>849</v>
      </c>
      <c r="C240" s="65" t="s">
        <v>900</v>
      </c>
      <c r="D240" s="65" t="s">
        <v>901</v>
      </c>
      <c r="E240" s="65" t="s">
        <v>902</v>
      </c>
      <c r="F240" s="65" t="s">
        <v>903</v>
      </c>
      <c r="G240" s="65" t="s">
        <v>23</v>
      </c>
      <c r="H240" s="66">
        <v>1.1</v>
      </c>
      <c r="I240" s="65" t="s">
        <v>904</v>
      </c>
      <c r="J240" s="65" t="s">
        <v>32</v>
      </c>
      <c r="K240" s="65" t="s">
        <v>48</v>
      </c>
      <c r="L240" s="45">
        <v>13</v>
      </c>
      <c r="M240" s="67">
        <f>H240*10000*0.25</f>
      </c>
      <c r="N240" s="67">
        <f>M240*L240</f>
      </c>
      <c r="O240" s="67">
        <f>M240*3</f>
      </c>
      <c r="P240" s="67">
        <f>M240*10*0.8</f>
      </c>
      <c r="Q240" s="67">
        <f>P240/70</f>
      </c>
      <c r="R240" s="67">
        <f>Q240*4</f>
      </c>
      <c r="S240" s="13"/>
      <c r="T240" s="13"/>
      <c r="U240" s="13"/>
      <c r="V240" s="18"/>
      <c r="W240" s="13"/>
    </row>
    <row x14ac:dyDescent="0.25" r="241" customHeight="1" ht="18.75">
      <c r="A241" s="64">
        <v>15</v>
      </c>
      <c r="B241" s="65" t="s">
        <v>849</v>
      </c>
      <c r="C241" s="65" t="s">
        <v>905</v>
      </c>
      <c r="D241" s="65" t="s">
        <v>906</v>
      </c>
      <c r="E241" s="65" t="s">
        <v>907</v>
      </c>
      <c r="F241" s="65" t="s">
        <v>894</v>
      </c>
      <c r="G241" s="65" t="s">
        <v>23</v>
      </c>
      <c r="H241" s="66">
        <v>6.57</v>
      </c>
      <c r="I241" s="65" t="s">
        <v>908</v>
      </c>
      <c r="J241" s="65" t="s">
        <v>32</v>
      </c>
      <c r="K241" s="65" t="s">
        <v>59</v>
      </c>
      <c r="L241" s="45">
        <v>5</v>
      </c>
      <c r="M241" s="67">
        <f>H241*10000*0.25</f>
      </c>
      <c r="N241" s="67">
        <f>M241*L241</f>
      </c>
      <c r="O241" s="67">
        <f>M241*1</f>
      </c>
      <c r="P241" s="67">
        <f>M241*4*0.8</f>
      </c>
      <c r="Q241" s="67">
        <f>P241/70</f>
      </c>
      <c r="R241" s="67">
        <f>Q241*4</f>
      </c>
      <c r="S241" s="13"/>
      <c r="T241" s="13"/>
      <c r="U241" s="13"/>
      <c r="V241" s="18"/>
      <c r="W241" s="13"/>
    </row>
    <row x14ac:dyDescent="0.25" r="242" customHeight="1" ht="18.75">
      <c r="A242" s="64">
        <v>16</v>
      </c>
      <c r="B242" s="65" t="s">
        <v>849</v>
      </c>
      <c r="C242" s="65" t="s">
        <v>909</v>
      </c>
      <c r="D242" s="65" t="s">
        <v>910</v>
      </c>
      <c r="E242" s="65" t="s">
        <v>641</v>
      </c>
      <c r="F242" s="65" t="s">
        <v>894</v>
      </c>
      <c r="G242" s="65" t="s">
        <v>23</v>
      </c>
      <c r="H242" s="66">
        <v>2.06</v>
      </c>
      <c r="I242" s="65" t="s">
        <v>911</v>
      </c>
      <c r="J242" s="65" t="s">
        <v>25</v>
      </c>
      <c r="K242" s="65" t="s">
        <v>866</v>
      </c>
      <c r="L242" s="45">
        <v>10</v>
      </c>
      <c r="M242" s="67">
        <f>H242*10000*0.25</f>
      </c>
      <c r="N242" s="67">
        <f>M242*L242</f>
      </c>
      <c r="O242" s="67">
        <f>M242*2</f>
      </c>
      <c r="P242" s="67">
        <f>M242*8*0.8</f>
      </c>
      <c r="Q242" s="67">
        <f>P242/70</f>
      </c>
      <c r="R242" s="67">
        <f>Q242*4</f>
      </c>
      <c r="S242" s="13"/>
      <c r="T242" s="13"/>
      <c r="U242" s="13"/>
      <c r="V242" s="18"/>
      <c r="W242" s="13"/>
    </row>
    <row x14ac:dyDescent="0.25" r="243" customHeight="1" ht="18.75">
      <c r="A243" s="64">
        <v>17</v>
      </c>
      <c r="B243" s="65" t="s">
        <v>849</v>
      </c>
      <c r="C243" s="65" t="s">
        <v>912</v>
      </c>
      <c r="D243" s="65" t="s">
        <v>910</v>
      </c>
      <c r="E243" s="65" t="s">
        <v>869</v>
      </c>
      <c r="F243" s="65" t="s">
        <v>894</v>
      </c>
      <c r="G243" s="65" t="s">
        <v>23</v>
      </c>
      <c r="H243" s="66">
        <v>2.32</v>
      </c>
      <c r="I243" s="65" t="s">
        <v>913</v>
      </c>
      <c r="J243" s="65" t="s">
        <v>32</v>
      </c>
      <c r="K243" s="65" t="s">
        <v>48</v>
      </c>
      <c r="L243" s="45">
        <v>9</v>
      </c>
      <c r="M243" s="67">
        <f>H243*10000*0.25</f>
      </c>
      <c r="N243" s="67">
        <f>M243*L243</f>
      </c>
      <c r="O243" s="67">
        <f>M243*2</f>
      </c>
      <c r="P243" s="67">
        <f>M243*7*0.8</f>
      </c>
      <c r="Q243" s="67">
        <f>P243/70</f>
      </c>
      <c r="R243" s="67">
        <f>Q243*4</f>
      </c>
      <c r="S243" s="13"/>
      <c r="T243" s="13"/>
      <c r="U243" s="13"/>
      <c r="V243" s="18"/>
      <c r="W243" s="13"/>
    </row>
    <row x14ac:dyDescent="0.25" r="244" customHeight="1" ht="18.75">
      <c r="A244" s="64">
        <v>18</v>
      </c>
      <c r="B244" s="65" t="s">
        <v>849</v>
      </c>
      <c r="C244" s="65" t="s">
        <v>914</v>
      </c>
      <c r="D244" s="65" t="s">
        <v>915</v>
      </c>
      <c r="E244" s="65" t="s">
        <v>575</v>
      </c>
      <c r="F244" s="65" t="s">
        <v>894</v>
      </c>
      <c r="G244" s="65" t="s">
        <v>23</v>
      </c>
      <c r="H244" s="64">
        <v>5</v>
      </c>
      <c r="I244" s="65" t="s">
        <v>916</v>
      </c>
      <c r="J244" s="65" t="s">
        <v>32</v>
      </c>
      <c r="K244" s="65" t="s">
        <v>59</v>
      </c>
      <c r="L244" s="45">
        <v>13</v>
      </c>
      <c r="M244" s="67">
        <f>H244*10000*0.25</f>
      </c>
      <c r="N244" s="67">
        <f>M244*L244</f>
      </c>
      <c r="O244" s="67">
        <f>M244*3</f>
      </c>
      <c r="P244" s="67">
        <f>M244*10*0.8</f>
      </c>
      <c r="Q244" s="67">
        <f>P244/70</f>
      </c>
      <c r="R244" s="67">
        <f>Q244*4</f>
      </c>
      <c r="S244" s="13"/>
      <c r="T244" s="13"/>
      <c r="U244" s="13"/>
      <c r="V244" s="18"/>
      <c r="W244" s="13"/>
    </row>
    <row x14ac:dyDescent="0.25" r="245" customHeight="1" ht="18.75">
      <c r="A245" s="64">
        <v>19</v>
      </c>
      <c r="B245" s="65" t="s">
        <v>849</v>
      </c>
      <c r="C245" s="65" t="s">
        <v>917</v>
      </c>
      <c r="D245" s="65" t="s">
        <v>918</v>
      </c>
      <c r="E245" s="65" t="s">
        <v>575</v>
      </c>
      <c r="F245" s="65" t="s">
        <v>894</v>
      </c>
      <c r="G245" s="65" t="s">
        <v>23</v>
      </c>
      <c r="H245" s="66">
        <v>50.72</v>
      </c>
      <c r="I245" s="65" t="s">
        <v>919</v>
      </c>
      <c r="J245" s="65" t="s">
        <v>32</v>
      </c>
      <c r="K245" s="65" t="s">
        <v>59</v>
      </c>
      <c r="L245" s="45">
        <v>13</v>
      </c>
      <c r="M245" s="67">
        <f>H245*10000*0.25</f>
      </c>
      <c r="N245" s="67">
        <f>M245*L245</f>
      </c>
      <c r="O245" s="67">
        <f>M245*3</f>
      </c>
      <c r="P245" s="67">
        <f>M245*10*0.8</f>
      </c>
      <c r="Q245" s="67">
        <f>P245/70</f>
      </c>
      <c r="R245" s="67">
        <f>Q245*4</f>
      </c>
      <c r="S245" s="13"/>
      <c r="T245" s="13"/>
      <c r="U245" s="13"/>
      <c r="V245" s="18"/>
      <c r="W245" s="13"/>
    </row>
    <row x14ac:dyDescent="0.25" r="246" customHeight="1" ht="18.75">
      <c r="A246" s="64">
        <v>20</v>
      </c>
      <c r="B246" s="65" t="s">
        <v>849</v>
      </c>
      <c r="C246" s="65" t="s">
        <v>920</v>
      </c>
      <c r="D246" s="65" t="s">
        <v>921</v>
      </c>
      <c r="E246" s="65" t="s">
        <v>575</v>
      </c>
      <c r="F246" s="65" t="s">
        <v>922</v>
      </c>
      <c r="G246" s="65" t="s">
        <v>23</v>
      </c>
      <c r="H246" s="66">
        <v>10.2</v>
      </c>
      <c r="I246" s="65" t="s">
        <v>923</v>
      </c>
      <c r="J246" s="65" t="s">
        <v>32</v>
      </c>
      <c r="K246" s="65" t="s">
        <v>59</v>
      </c>
      <c r="L246" s="45">
        <v>13</v>
      </c>
      <c r="M246" s="67">
        <f>H246*10000*0.25</f>
      </c>
      <c r="N246" s="67">
        <f>M246*L246</f>
      </c>
      <c r="O246" s="67">
        <f>M246*3</f>
      </c>
      <c r="P246" s="67">
        <f>M246*10*0.8</f>
      </c>
      <c r="Q246" s="67">
        <f>P246/70</f>
      </c>
      <c r="R246" s="67">
        <f>Q246*4</f>
      </c>
      <c r="S246" s="13"/>
      <c r="T246" s="13"/>
      <c r="U246" s="13"/>
      <c r="V246" s="18"/>
      <c r="W246" s="13"/>
    </row>
    <row x14ac:dyDescent="0.25" r="247" customHeight="1" ht="18.75">
      <c r="A247" s="64">
        <v>21</v>
      </c>
      <c r="B247" s="65" t="s">
        <v>849</v>
      </c>
      <c r="C247" s="65" t="s">
        <v>924</v>
      </c>
      <c r="D247" s="65" t="s">
        <v>925</v>
      </c>
      <c r="E247" s="65" t="s">
        <v>898</v>
      </c>
      <c r="F247" s="65" t="s">
        <v>894</v>
      </c>
      <c r="G247" s="65" t="s">
        <v>23</v>
      </c>
      <c r="H247" s="66">
        <v>3.8</v>
      </c>
      <c r="I247" s="65" t="s">
        <v>926</v>
      </c>
      <c r="J247" s="65" t="s">
        <v>32</v>
      </c>
      <c r="K247" s="65" t="s">
        <v>59</v>
      </c>
      <c r="L247" s="45">
        <v>10</v>
      </c>
      <c r="M247" s="67">
        <f>H247*10000*0.25</f>
      </c>
      <c r="N247" s="67">
        <f>M247*L247</f>
      </c>
      <c r="O247" s="67">
        <f>M247*2</f>
      </c>
      <c r="P247" s="67">
        <f>M247*8*0.8</f>
      </c>
      <c r="Q247" s="67">
        <f>P247/70</f>
      </c>
      <c r="R247" s="67">
        <f>Q247*4</f>
      </c>
      <c r="S247" s="13"/>
      <c r="T247" s="13"/>
      <c r="U247" s="13"/>
      <c r="V247" s="18"/>
      <c r="W247" s="13"/>
    </row>
    <row x14ac:dyDescent="0.25" r="248" customHeight="1" ht="18.75">
      <c r="A248" s="64">
        <v>22</v>
      </c>
      <c r="B248" s="65" t="s">
        <v>849</v>
      </c>
      <c r="C248" s="65" t="s">
        <v>927</v>
      </c>
      <c r="D248" s="65" t="s">
        <v>928</v>
      </c>
      <c r="E248" s="65" t="s">
        <v>377</v>
      </c>
      <c r="F248" s="65" t="s">
        <v>929</v>
      </c>
      <c r="G248" s="65" t="s">
        <v>23</v>
      </c>
      <c r="H248" s="64">
        <v>4</v>
      </c>
      <c r="I248" s="65" t="s">
        <v>930</v>
      </c>
      <c r="J248" s="65" t="s">
        <v>25</v>
      </c>
      <c r="K248" s="65" t="s">
        <v>48</v>
      </c>
      <c r="L248" s="45">
        <v>13</v>
      </c>
      <c r="M248" s="67">
        <f>H248*10000*0.25</f>
      </c>
      <c r="N248" s="67">
        <f>M248*L248</f>
      </c>
      <c r="O248" s="67">
        <f>M248*3</f>
      </c>
      <c r="P248" s="67">
        <f>M248*10*0.8</f>
      </c>
      <c r="Q248" s="67">
        <f>P248/70</f>
      </c>
      <c r="R248" s="67">
        <f>Q248*4</f>
      </c>
      <c r="S248" s="13"/>
      <c r="T248" s="13"/>
      <c r="U248" s="13"/>
      <c r="V248" s="18"/>
      <c r="W248" s="13"/>
    </row>
    <row x14ac:dyDescent="0.25" r="249" customHeight="1" ht="18.75">
      <c r="A249" s="64">
        <v>23</v>
      </c>
      <c r="B249" s="65" t="s">
        <v>849</v>
      </c>
      <c r="C249" s="65" t="s">
        <v>931</v>
      </c>
      <c r="D249" s="65" t="s">
        <v>932</v>
      </c>
      <c r="E249" s="65" t="s">
        <v>377</v>
      </c>
      <c r="F249" s="65" t="s">
        <v>933</v>
      </c>
      <c r="G249" s="65" t="s">
        <v>147</v>
      </c>
      <c r="H249" s="66">
        <v>0.6</v>
      </c>
      <c r="I249" s="65" t="s">
        <v>934</v>
      </c>
      <c r="J249" s="65" t="s">
        <v>25</v>
      </c>
      <c r="K249" s="65" t="s">
        <v>48</v>
      </c>
      <c r="L249" s="45">
        <v>16</v>
      </c>
      <c r="M249" s="67">
        <f>H249*10000*0.25</f>
      </c>
      <c r="N249" s="67">
        <f>M249*L249</f>
      </c>
      <c r="O249" s="67">
        <f>M249*L249</f>
      </c>
      <c r="P249" s="67">
        <v>0</v>
      </c>
      <c r="Q249" s="67">
        <f>P249/70</f>
      </c>
      <c r="R249" s="67">
        <f>Q249*4</f>
      </c>
      <c r="S249" s="13"/>
      <c r="T249" s="13"/>
      <c r="U249" s="13"/>
      <c r="V249" s="18"/>
      <c r="W249" s="13"/>
    </row>
    <row x14ac:dyDescent="0.25" r="250" customHeight="1" ht="18.75">
      <c r="A250" s="64">
        <v>24</v>
      </c>
      <c r="B250" s="65" t="s">
        <v>849</v>
      </c>
      <c r="C250" s="65" t="s">
        <v>935</v>
      </c>
      <c r="D250" s="65" t="s">
        <v>936</v>
      </c>
      <c r="E250" s="65" t="s">
        <v>377</v>
      </c>
      <c r="F250" s="65" t="s">
        <v>937</v>
      </c>
      <c r="G250" s="65" t="s">
        <v>23</v>
      </c>
      <c r="H250" s="66">
        <v>1.44</v>
      </c>
      <c r="I250" s="65" t="s">
        <v>938</v>
      </c>
      <c r="J250" s="65" t="s">
        <v>25</v>
      </c>
      <c r="K250" s="65" t="s">
        <v>48</v>
      </c>
      <c r="L250" s="45">
        <v>12</v>
      </c>
      <c r="M250" s="67">
        <f>H250*10000*0.25</f>
      </c>
      <c r="N250" s="67">
        <f>M250*L250</f>
      </c>
      <c r="O250" s="67">
        <f>M250*2</f>
      </c>
      <c r="P250" s="67">
        <f>M250*10*0.8</f>
      </c>
      <c r="Q250" s="67">
        <f>P250/70</f>
      </c>
      <c r="R250" s="67">
        <f>Q250*4</f>
      </c>
      <c r="S250" s="13"/>
      <c r="T250" s="13"/>
      <c r="U250" s="13"/>
      <c r="V250" s="18"/>
      <c r="W250" s="13"/>
    </row>
    <row x14ac:dyDescent="0.25" r="251" customHeight="1" ht="18.75">
      <c r="A251" s="64">
        <v>25</v>
      </c>
      <c r="B251" s="65" t="s">
        <v>849</v>
      </c>
      <c r="C251" s="65" t="s">
        <v>931</v>
      </c>
      <c r="D251" s="65" t="s">
        <v>939</v>
      </c>
      <c r="E251" s="65" t="s">
        <v>377</v>
      </c>
      <c r="F251" s="65" t="s">
        <v>940</v>
      </c>
      <c r="G251" s="65" t="s">
        <v>23</v>
      </c>
      <c r="H251" s="66">
        <v>3.71</v>
      </c>
      <c r="I251" s="65" t="s">
        <v>941</v>
      </c>
      <c r="J251" s="65" t="s">
        <v>32</v>
      </c>
      <c r="K251" s="65" t="s">
        <v>59</v>
      </c>
      <c r="L251" s="45">
        <v>12</v>
      </c>
      <c r="M251" s="67">
        <f>H251*10000*0.25</f>
      </c>
      <c r="N251" s="67">
        <f>M251*L251</f>
      </c>
      <c r="O251" s="67">
        <f>M251*2</f>
      </c>
      <c r="P251" s="67">
        <f>M251*10*0.8</f>
      </c>
      <c r="Q251" s="67">
        <f>P251/70</f>
      </c>
      <c r="R251" s="67">
        <f>Q251*4</f>
      </c>
      <c r="S251" s="13"/>
      <c r="T251" s="13"/>
      <c r="U251" s="13"/>
      <c r="V251" s="18"/>
      <c r="W251" s="13"/>
    </row>
    <row x14ac:dyDescent="0.25" r="252" customHeight="1" ht="18.75">
      <c r="A252" s="64">
        <v>26</v>
      </c>
      <c r="B252" s="65" t="s">
        <v>849</v>
      </c>
      <c r="C252" s="65" t="s">
        <v>942</v>
      </c>
      <c r="D252" s="65" t="s">
        <v>943</v>
      </c>
      <c r="E252" s="65" t="s">
        <v>898</v>
      </c>
      <c r="F252" s="65" t="s">
        <v>940</v>
      </c>
      <c r="G252" s="65" t="s">
        <v>23</v>
      </c>
      <c r="H252" s="66">
        <v>12.32</v>
      </c>
      <c r="I252" s="65" t="s">
        <v>944</v>
      </c>
      <c r="J252" s="65" t="s">
        <v>32</v>
      </c>
      <c r="K252" s="65" t="s">
        <v>59</v>
      </c>
      <c r="L252" s="45">
        <v>12</v>
      </c>
      <c r="M252" s="67">
        <f>H252*10000*0.25</f>
      </c>
      <c r="N252" s="67">
        <f>M252*L252</f>
      </c>
      <c r="O252" s="67">
        <f>M252*2</f>
      </c>
      <c r="P252" s="67">
        <f>M252*10*0.8</f>
      </c>
      <c r="Q252" s="67">
        <f>P252/70</f>
      </c>
      <c r="R252" s="67">
        <f>Q252*4</f>
      </c>
      <c r="S252" s="13"/>
      <c r="T252" s="13"/>
      <c r="U252" s="13"/>
      <c r="V252" s="18"/>
      <c r="W252" s="13"/>
    </row>
    <row x14ac:dyDescent="0.25" r="253" customHeight="1" ht="87.75">
      <c r="A253" s="64">
        <v>27</v>
      </c>
      <c r="B253" s="65" t="s">
        <v>849</v>
      </c>
      <c r="C253" s="65" t="s">
        <v>945</v>
      </c>
      <c r="D253" s="65" t="s">
        <v>946</v>
      </c>
      <c r="E253" s="65" t="s">
        <v>798</v>
      </c>
      <c r="F253" s="65" t="s">
        <v>147</v>
      </c>
      <c r="G253" s="65" t="s">
        <v>147</v>
      </c>
      <c r="H253" s="66">
        <v>0.35</v>
      </c>
      <c r="I253" s="65" t="s">
        <v>947</v>
      </c>
      <c r="J253" s="65" t="s">
        <v>25</v>
      </c>
      <c r="K253" s="65" t="s">
        <v>48</v>
      </c>
      <c r="L253" s="45">
        <v>10</v>
      </c>
      <c r="M253" s="67">
        <f>H253*10000*0.25</f>
      </c>
      <c r="N253" s="67">
        <f>M253*L253</f>
      </c>
      <c r="O253" s="67">
        <f>M253*L253</f>
      </c>
      <c r="P253" s="67">
        <v>0</v>
      </c>
      <c r="Q253" s="67">
        <f>P253/70</f>
      </c>
      <c r="R253" s="67">
        <f>Q253*4</f>
      </c>
      <c r="S253" s="13"/>
      <c r="T253" s="13"/>
      <c r="U253" s="13"/>
      <c r="V253" s="18"/>
      <c r="W253" s="13"/>
    </row>
    <row x14ac:dyDescent="0.25" r="254" customHeight="1" ht="76.5">
      <c r="A254" s="64">
        <v>28</v>
      </c>
      <c r="B254" s="65" t="s">
        <v>849</v>
      </c>
      <c r="C254" s="65" t="s">
        <v>948</v>
      </c>
      <c r="D254" s="65" t="s">
        <v>949</v>
      </c>
      <c r="E254" s="65" t="s">
        <v>950</v>
      </c>
      <c r="F254" s="65" t="s">
        <v>951</v>
      </c>
      <c r="G254" s="65" t="s">
        <v>23</v>
      </c>
      <c r="H254" s="66">
        <v>2.1</v>
      </c>
      <c r="I254" s="65" t="s">
        <v>952</v>
      </c>
      <c r="J254" s="65" t="s">
        <v>25</v>
      </c>
      <c r="K254" s="65" t="s">
        <v>48</v>
      </c>
      <c r="L254" s="45">
        <v>15</v>
      </c>
      <c r="M254" s="67">
        <f>H254*10000*0.25</f>
      </c>
      <c r="N254" s="67">
        <f>M254*L254</f>
      </c>
      <c r="O254" s="67">
        <f>M254*5</f>
      </c>
      <c r="P254" s="67">
        <f>M254*10*0.8</f>
      </c>
      <c r="Q254" s="67">
        <f>P254/70</f>
      </c>
      <c r="R254" s="67">
        <f>Q254*4</f>
      </c>
      <c r="S254" s="13"/>
      <c r="T254" s="13"/>
      <c r="U254" s="13"/>
      <c r="V254" s="18"/>
      <c r="W254" s="13"/>
    </row>
    <row x14ac:dyDescent="0.25" r="255" customHeight="1" ht="18.75">
      <c r="A255" s="64">
        <v>29</v>
      </c>
      <c r="B255" s="65" t="s">
        <v>849</v>
      </c>
      <c r="C255" s="65" t="s">
        <v>953</v>
      </c>
      <c r="D255" s="65" t="s">
        <v>954</v>
      </c>
      <c r="E255" s="65" t="s">
        <v>575</v>
      </c>
      <c r="F255" s="65" t="s">
        <v>955</v>
      </c>
      <c r="G255" s="65" t="s">
        <v>23</v>
      </c>
      <c r="H255" s="66">
        <v>6.5</v>
      </c>
      <c r="I255" s="65" t="s">
        <v>956</v>
      </c>
      <c r="J255" s="65" t="s">
        <v>25</v>
      </c>
      <c r="K255" s="65" t="s">
        <v>866</v>
      </c>
      <c r="L255" s="45">
        <v>13</v>
      </c>
      <c r="M255" s="67">
        <f>H255*10000*0.25</f>
      </c>
      <c r="N255" s="67">
        <f>M255*L255</f>
      </c>
      <c r="O255" s="67">
        <f>M255*3</f>
      </c>
      <c r="P255" s="67">
        <f>M255*10*0.8</f>
      </c>
      <c r="Q255" s="67">
        <f>P255/70</f>
      </c>
      <c r="R255" s="67">
        <f>Q255*4</f>
      </c>
      <c r="S255" s="13"/>
      <c r="T255" s="13"/>
      <c r="U255" s="13"/>
      <c r="V255" s="18"/>
      <c r="W255" s="13"/>
    </row>
    <row x14ac:dyDescent="0.25" r="256" customHeight="1" ht="18.75" customFormat="1" s="1">
      <c r="A256" s="68">
        <v>1</v>
      </c>
      <c r="B256" s="69" t="s">
        <v>957</v>
      </c>
      <c r="C256" s="69" t="s">
        <v>958</v>
      </c>
      <c r="D256" s="69" t="s">
        <v>102</v>
      </c>
      <c r="E256" s="69" t="s">
        <v>959</v>
      </c>
      <c r="F256" s="69" t="s">
        <v>960</v>
      </c>
      <c r="G256" s="69" t="s">
        <v>23</v>
      </c>
      <c r="H256" s="70">
        <v>10.5</v>
      </c>
      <c r="I256" s="69" t="s">
        <v>961</v>
      </c>
      <c r="J256" s="69" t="s">
        <v>25</v>
      </c>
      <c r="K256" s="69" t="s">
        <v>59</v>
      </c>
      <c r="L256" s="17">
        <v>12</v>
      </c>
      <c r="M256" s="71">
        <f>H256*10000*0.25</f>
        <v>25569.25</v>
      </c>
      <c r="N256" s="71">
        <f>M256*L256</f>
        <v>25569.25</v>
      </c>
      <c r="O256" s="71">
        <f>M256*2</f>
        <v>25569.25</v>
      </c>
      <c r="P256" s="71">
        <f>M256*10*0.8</f>
        <v>25569.25</v>
      </c>
      <c r="Q256" s="71">
        <f>P256/70</f>
        <v>25569.25</v>
      </c>
      <c r="R256" s="72">
        <f>Q256*4</f>
      </c>
      <c r="S256" s="13"/>
      <c r="T256" s="13"/>
      <c r="U256" s="13"/>
      <c r="V256" s="13"/>
      <c r="W256" s="13"/>
    </row>
    <row x14ac:dyDescent="0.25" r="257" customHeight="1" ht="18.75" customFormat="1" s="1">
      <c r="A257" s="68">
        <v>2</v>
      </c>
      <c r="B257" s="69" t="s">
        <v>957</v>
      </c>
      <c r="C257" s="69" t="s">
        <v>962</v>
      </c>
      <c r="D257" s="69" t="s">
        <v>963</v>
      </c>
      <c r="E257" s="69" t="s">
        <v>964</v>
      </c>
      <c r="F257" s="69" t="s">
        <v>965</v>
      </c>
      <c r="G257" s="69" t="s">
        <v>30</v>
      </c>
      <c r="H257" s="70">
        <v>3.8</v>
      </c>
      <c r="I257" s="69" t="s">
        <v>966</v>
      </c>
      <c r="J257" s="69" t="s">
        <v>25</v>
      </c>
      <c r="K257" s="69" t="s">
        <v>48</v>
      </c>
      <c r="L257" s="17">
        <v>29</v>
      </c>
      <c r="M257" s="71">
        <f>H257*10000*0.25</f>
        <v>25569.25</v>
      </c>
      <c r="N257" s="71">
        <f>M257*L257</f>
        <v>25569.25</v>
      </c>
      <c r="O257" s="68">
        <f>M257*L257</f>
      </c>
      <c r="P257" s="71"/>
      <c r="Q257" s="71">
        <f>P257/70</f>
        <v>25569.25</v>
      </c>
      <c r="R257" s="72">
        <f>Q257*4</f>
      </c>
      <c r="S257" s="13"/>
      <c r="T257" s="13"/>
      <c r="U257" s="13"/>
      <c r="V257" s="13"/>
      <c r="W257" s="13"/>
    </row>
    <row x14ac:dyDescent="0.25" r="258" customHeight="1" ht="18.75" customFormat="1" s="1">
      <c r="A258" s="68">
        <v>3</v>
      </c>
      <c r="B258" s="69" t="s">
        <v>957</v>
      </c>
      <c r="C258" s="69" t="s">
        <v>967</v>
      </c>
      <c r="D258" s="69" t="s">
        <v>968</v>
      </c>
      <c r="E258" s="69" t="s">
        <v>969</v>
      </c>
      <c r="F258" s="69" t="s">
        <v>960</v>
      </c>
      <c r="G258" s="69" t="s">
        <v>23</v>
      </c>
      <c r="H258" s="70">
        <v>9.5</v>
      </c>
      <c r="I258" s="69" t="s">
        <v>970</v>
      </c>
      <c r="J258" s="69" t="s">
        <v>25</v>
      </c>
      <c r="K258" s="69" t="s">
        <v>59</v>
      </c>
      <c r="L258" s="17">
        <v>16</v>
      </c>
      <c r="M258" s="71">
        <f>H258*10000*0.25</f>
        <v>25569.25</v>
      </c>
      <c r="N258" s="71">
        <f>M258*L258</f>
        <v>25569.25</v>
      </c>
      <c r="O258" s="71">
        <f>M258*5</f>
        <v>25569.25</v>
      </c>
      <c r="P258" s="71">
        <f>M258*11*0.8</f>
        <v>25569.25</v>
      </c>
      <c r="Q258" s="71">
        <f>P258/70</f>
        <v>25569.25</v>
      </c>
      <c r="R258" s="72">
        <f>Q258*4</f>
      </c>
      <c r="S258" s="13"/>
      <c r="T258" s="13"/>
      <c r="U258" s="13"/>
      <c r="V258" s="13"/>
      <c r="W258" s="13"/>
    </row>
    <row x14ac:dyDescent="0.25" r="259" customHeight="1" ht="18.75" customFormat="1" s="1">
      <c r="A259" s="68">
        <v>4</v>
      </c>
      <c r="B259" s="69" t="s">
        <v>957</v>
      </c>
      <c r="C259" s="69" t="s">
        <v>971</v>
      </c>
      <c r="D259" s="69" t="s">
        <v>552</v>
      </c>
      <c r="E259" s="69" t="s">
        <v>972</v>
      </c>
      <c r="F259" s="69" t="s">
        <v>973</v>
      </c>
      <c r="G259" s="69" t="s">
        <v>30</v>
      </c>
      <c r="H259" s="70">
        <v>0.71</v>
      </c>
      <c r="I259" s="69" t="s">
        <v>974</v>
      </c>
      <c r="J259" s="69" t="s">
        <v>25</v>
      </c>
      <c r="K259" s="69" t="s">
        <v>48</v>
      </c>
      <c r="L259" s="17">
        <v>52</v>
      </c>
      <c r="M259" s="71">
        <f>H259*10000*0.25</f>
        <v>25569.25</v>
      </c>
      <c r="N259" s="71">
        <f>M259*L259</f>
        <v>25569.25</v>
      </c>
      <c r="O259" s="68">
        <f>M259*L259</f>
      </c>
      <c r="P259" s="71"/>
      <c r="Q259" s="71">
        <f>P259/70</f>
        <v>25569.25</v>
      </c>
      <c r="R259" s="72">
        <f>Q259*4</f>
      </c>
      <c r="S259" s="13"/>
      <c r="T259" s="13"/>
      <c r="U259" s="13"/>
      <c r="V259" s="13"/>
      <c r="W259" s="13"/>
    </row>
    <row x14ac:dyDescent="0.25" r="260" customHeight="1" ht="18.75" customFormat="1" s="1">
      <c r="A260" s="68">
        <v>5</v>
      </c>
      <c r="B260" s="69" t="s">
        <v>957</v>
      </c>
      <c r="C260" s="69" t="s">
        <v>975</v>
      </c>
      <c r="D260" s="69" t="s">
        <v>584</v>
      </c>
      <c r="E260" s="69" t="s">
        <v>976</v>
      </c>
      <c r="F260" s="69" t="s">
        <v>973</v>
      </c>
      <c r="G260" s="69" t="s">
        <v>30</v>
      </c>
      <c r="H260" s="70">
        <v>1.2</v>
      </c>
      <c r="I260" s="69" t="s">
        <v>977</v>
      </c>
      <c r="J260" s="69" t="s">
        <v>25</v>
      </c>
      <c r="K260" s="69" t="s">
        <v>48</v>
      </c>
      <c r="L260" s="17">
        <v>58</v>
      </c>
      <c r="M260" s="71">
        <f>H260*10000*0.25</f>
        <v>25569.25</v>
      </c>
      <c r="N260" s="71">
        <f>M260*L260</f>
        <v>25569.25</v>
      </c>
      <c r="O260" s="68">
        <f>M260*L260</f>
      </c>
      <c r="P260" s="71"/>
      <c r="Q260" s="71">
        <f>P260/70</f>
        <v>25569.25</v>
      </c>
      <c r="R260" s="72">
        <f>Q260*4</f>
      </c>
      <c r="S260" s="13"/>
      <c r="T260" s="13"/>
      <c r="U260" s="13"/>
      <c r="V260" s="13"/>
      <c r="W260" s="13"/>
    </row>
    <row x14ac:dyDescent="0.25" r="261" customHeight="1" ht="18.75" customFormat="1" s="1">
      <c r="A261" s="68">
        <v>6</v>
      </c>
      <c r="B261" s="69" t="s">
        <v>957</v>
      </c>
      <c r="C261" s="69" t="s">
        <v>978</v>
      </c>
      <c r="D261" s="69" t="s">
        <v>559</v>
      </c>
      <c r="E261" s="69" t="s">
        <v>35</v>
      </c>
      <c r="F261" s="69" t="s">
        <v>979</v>
      </c>
      <c r="G261" s="69" t="s">
        <v>23</v>
      </c>
      <c r="H261" s="70">
        <v>10.6</v>
      </c>
      <c r="I261" s="69" t="s">
        <v>980</v>
      </c>
      <c r="J261" s="69" t="s">
        <v>25</v>
      </c>
      <c r="K261" s="69" t="s">
        <v>26</v>
      </c>
      <c r="L261" s="17">
        <v>8</v>
      </c>
      <c r="M261" s="71">
        <f>H261*10000*0.25</f>
        <v>25569.25</v>
      </c>
      <c r="N261" s="71">
        <f>M261*L261</f>
        <v>25569.25</v>
      </c>
      <c r="O261" s="71">
        <f>M261*2</f>
        <v>25569.25</v>
      </c>
      <c r="P261" s="71">
        <f>M261*6*0.8</f>
        <v>25569.25</v>
      </c>
      <c r="Q261" s="71">
        <f>P261/70</f>
        <v>25569.25</v>
      </c>
      <c r="R261" s="71">
        <f>Q261*4</f>
        <v>25569.25</v>
      </c>
      <c r="S261" s="13"/>
      <c r="T261" s="13"/>
      <c r="U261" s="13"/>
      <c r="V261" s="13"/>
      <c r="W261" s="13"/>
    </row>
    <row x14ac:dyDescent="0.25" r="262" customHeight="1" ht="18.75" customFormat="1" s="1">
      <c r="A262" s="68">
        <v>7</v>
      </c>
      <c r="B262" s="69" t="s">
        <v>957</v>
      </c>
      <c r="C262" s="69" t="s">
        <v>981</v>
      </c>
      <c r="D262" s="69" t="s">
        <v>982</v>
      </c>
      <c r="E262" s="69" t="s">
        <v>28</v>
      </c>
      <c r="F262" s="69" t="s">
        <v>983</v>
      </c>
      <c r="G262" s="69" t="s">
        <v>147</v>
      </c>
      <c r="H262" s="70">
        <v>0.45</v>
      </c>
      <c r="I262" s="69" t="s">
        <v>984</v>
      </c>
      <c r="J262" s="69" t="s">
        <v>25</v>
      </c>
      <c r="K262" s="69" t="s">
        <v>26</v>
      </c>
      <c r="L262" s="17">
        <v>3</v>
      </c>
      <c r="M262" s="71">
        <f>H262*10000*0.25</f>
        <v>25569.25</v>
      </c>
      <c r="N262" s="71">
        <f>M262*L262</f>
        <v>25569.25</v>
      </c>
      <c r="O262" s="71">
        <f>M262*3</f>
        <v>25569.25</v>
      </c>
      <c r="P262" s="71"/>
      <c r="Q262" s="71">
        <f>P262/70</f>
        <v>25569.25</v>
      </c>
      <c r="R262" s="71">
        <f>Q262*4</f>
        <v>25569.25</v>
      </c>
      <c r="S262" s="13"/>
      <c r="T262" s="13"/>
      <c r="U262" s="13"/>
      <c r="V262" s="13"/>
      <c r="W262" s="13"/>
    </row>
    <row x14ac:dyDescent="0.25" r="263" customHeight="1" ht="18.75" customFormat="1" s="1">
      <c r="A263" s="68">
        <v>8</v>
      </c>
      <c r="B263" s="69" t="s">
        <v>957</v>
      </c>
      <c r="C263" s="69" t="s">
        <v>985</v>
      </c>
      <c r="D263" s="69" t="s">
        <v>982</v>
      </c>
      <c r="E263" s="69" t="s">
        <v>28</v>
      </c>
      <c r="F263" s="69" t="s">
        <v>983</v>
      </c>
      <c r="G263" s="69" t="s">
        <v>147</v>
      </c>
      <c r="H263" s="70">
        <v>0.08</v>
      </c>
      <c r="I263" s="69" t="s">
        <v>986</v>
      </c>
      <c r="J263" s="69" t="s">
        <v>25</v>
      </c>
      <c r="K263" s="69" t="s">
        <v>26</v>
      </c>
      <c r="L263" s="17">
        <v>3</v>
      </c>
      <c r="M263" s="71">
        <f>H263*10000*0.25</f>
        <v>25569.25</v>
      </c>
      <c r="N263" s="71">
        <f>M263*L263</f>
        <v>25569.25</v>
      </c>
      <c r="O263" s="71">
        <f>M263*3</f>
        <v>25569.25</v>
      </c>
      <c r="P263" s="71"/>
      <c r="Q263" s="71">
        <f>P263/70</f>
        <v>25569.25</v>
      </c>
      <c r="R263" s="71">
        <f>Q263*4</f>
        <v>25569.25</v>
      </c>
      <c r="S263" s="13"/>
      <c r="T263" s="13"/>
      <c r="U263" s="13"/>
      <c r="V263" s="13"/>
      <c r="W263" s="13"/>
    </row>
    <row x14ac:dyDescent="0.25" r="264" customHeight="1" ht="18.75" customFormat="1" s="1">
      <c r="A264" s="68">
        <v>9</v>
      </c>
      <c r="B264" s="69" t="s">
        <v>957</v>
      </c>
      <c r="C264" s="69" t="s">
        <v>987</v>
      </c>
      <c r="D264" s="69" t="s">
        <v>982</v>
      </c>
      <c r="E264" s="69" t="s">
        <v>28</v>
      </c>
      <c r="F264" s="69" t="s">
        <v>983</v>
      </c>
      <c r="G264" s="69" t="s">
        <v>147</v>
      </c>
      <c r="H264" s="70">
        <v>0.16</v>
      </c>
      <c r="I264" s="69" t="s">
        <v>988</v>
      </c>
      <c r="J264" s="69" t="s">
        <v>25</v>
      </c>
      <c r="K264" s="69" t="s">
        <v>26</v>
      </c>
      <c r="L264" s="17">
        <v>3</v>
      </c>
      <c r="M264" s="71">
        <f>H264*10000*0.25</f>
        <v>25569.25</v>
      </c>
      <c r="N264" s="71">
        <f>M264*L264</f>
        <v>25569.25</v>
      </c>
      <c r="O264" s="71">
        <f>M264*3</f>
        <v>25569.25</v>
      </c>
      <c r="P264" s="71"/>
      <c r="Q264" s="71">
        <f>P264/70</f>
        <v>25569.25</v>
      </c>
      <c r="R264" s="71">
        <f>Q264*4</f>
        <v>25569.25</v>
      </c>
      <c r="S264" s="13"/>
      <c r="T264" s="13"/>
      <c r="U264" s="13"/>
      <c r="V264" s="13"/>
      <c r="W264" s="13"/>
    </row>
    <row x14ac:dyDescent="0.25" r="265" customHeight="1" ht="18.75" customFormat="1" s="1">
      <c r="A265" s="68">
        <v>10</v>
      </c>
      <c r="B265" s="69" t="s">
        <v>957</v>
      </c>
      <c r="C265" s="69" t="s">
        <v>989</v>
      </c>
      <c r="D265" s="69" t="s">
        <v>982</v>
      </c>
      <c r="E265" s="69" t="s">
        <v>28</v>
      </c>
      <c r="F265" s="69" t="s">
        <v>983</v>
      </c>
      <c r="G265" s="69" t="s">
        <v>147</v>
      </c>
      <c r="H265" s="70">
        <v>0.16</v>
      </c>
      <c r="I265" s="69" t="s">
        <v>990</v>
      </c>
      <c r="J265" s="69" t="s">
        <v>25</v>
      </c>
      <c r="K265" s="69" t="s">
        <v>26</v>
      </c>
      <c r="L265" s="17">
        <v>3</v>
      </c>
      <c r="M265" s="71">
        <f>H265*10000*0.25</f>
        <v>25569.25</v>
      </c>
      <c r="N265" s="71">
        <f>M265*L265</f>
        <v>25569.25</v>
      </c>
      <c r="O265" s="71">
        <f>M265*3</f>
        <v>25569.25</v>
      </c>
      <c r="P265" s="71"/>
      <c r="Q265" s="71">
        <f>P265/70</f>
        <v>25569.25</v>
      </c>
      <c r="R265" s="71">
        <f>Q265*4</f>
        <v>25569.25</v>
      </c>
      <c r="S265" s="13"/>
      <c r="T265" s="13"/>
      <c r="U265" s="13"/>
      <c r="V265" s="13"/>
      <c r="W265" s="13"/>
    </row>
    <row x14ac:dyDescent="0.25" r="266" customHeight="1" ht="18.75" customFormat="1" s="1">
      <c r="A266" s="68">
        <v>11</v>
      </c>
      <c r="B266" s="69" t="s">
        <v>957</v>
      </c>
      <c r="C266" s="69" t="s">
        <v>991</v>
      </c>
      <c r="D266" s="69" t="s">
        <v>982</v>
      </c>
      <c r="E266" s="69" t="s">
        <v>28</v>
      </c>
      <c r="F266" s="69" t="s">
        <v>983</v>
      </c>
      <c r="G266" s="69" t="s">
        <v>147</v>
      </c>
      <c r="H266" s="70">
        <v>0.16</v>
      </c>
      <c r="I266" s="69" t="s">
        <v>992</v>
      </c>
      <c r="J266" s="69" t="s">
        <v>25</v>
      </c>
      <c r="K266" s="69" t="s">
        <v>26</v>
      </c>
      <c r="L266" s="17">
        <v>3</v>
      </c>
      <c r="M266" s="71">
        <f>H266*10000*0.25</f>
        <v>25569.25</v>
      </c>
      <c r="N266" s="71">
        <f>M266*L266</f>
        <v>25569.25</v>
      </c>
      <c r="O266" s="71">
        <f>M266*3</f>
        <v>25569.25</v>
      </c>
      <c r="P266" s="71"/>
      <c r="Q266" s="71">
        <f>P266/70</f>
        <v>25569.25</v>
      </c>
      <c r="R266" s="71">
        <f>Q266*4</f>
        <v>25569.25</v>
      </c>
      <c r="S266" s="13"/>
      <c r="T266" s="13"/>
      <c r="U266" s="13"/>
      <c r="V266" s="13"/>
      <c r="W266" s="13"/>
    </row>
    <row x14ac:dyDescent="0.25" r="267" customHeight="1" ht="18.75" customFormat="1" s="1">
      <c r="A267" s="68">
        <v>12</v>
      </c>
      <c r="B267" s="69" t="s">
        <v>957</v>
      </c>
      <c r="C267" s="69" t="s">
        <v>993</v>
      </c>
      <c r="D267" s="69" t="s">
        <v>982</v>
      </c>
      <c r="E267" s="69" t="s">
        <v>28</v>
      </c>
      <c r="F267" s="69" t="s">
        <v>983</v>
      </c>
      <c r="G267" s="69" t="s">
        <v>147</v>
      </c>
      <c r="H267" s="70">
        <v>0.16</v>
      </c>
      <c r="I267" s="69" t="s">
        <v>994</v>
      </c>
      <c r="J267" s="69" t="s">
        <v>25</v>
      </c>
      <c r="K267" s="69" t="s">
        <v>26</v>
      </c>
      <c r="L267" s="17">
        <v>3</v>
      </c>
      <c r="M267" s="71">
        <f>H267*10000*0.25</f>
        <v>25569.25</v>
      </c>
      <c r="N267" s="71">
        <f>M267*L267</f>
        <v>25569.25</v>
      </c>
      <c r="O267" s="71">
        <f>M267*3</f>
        <v>25569.25</v>
      </c>
      <c r="P267" s="71"/>
      <c r="Q267" s="71">
        <f>P267/70</f>
        <v>25569.25</v>
      </c>
      <c r="R267" s="71">
        <f>Q267*4</f>
        <v>25569.25</v>
      </c>
      <c r="S267" s="13"/>
      <c r="T267" s="13"/>
      <c r="U267" s="13"/>
      <c r="V267" s="13"/>
      <c r="W267" s="13"/>
    </row>
    <row x14ac:dyDescent="0.25" r="268" customHeight="1" ht="18.75" customFormat="1" s="1">
      <c r="A268" s="68">
        <v>13</v>
      </c>
      <c r="B268" s="69" t="s">
        <v>957</v>
      </c>
      <c r="C268" s="69" t="s">
        <v>995</v>
      </c>
      <c r="D268" s="69" t="s">
        <v>982</v>
      </c>
      <c r="E268" s="69" t="s">
        <v>28</v>
      </c>
      <c r="F268" s="69" t="s">
        <v>983</v>
      </c>
      <c r="G268" s="69" t="s">
        <v>147</v>
      </c>
      <c r="H268" s="70">
        <v>0.16</v>
      </c>
      <c r="I268" s="69" t="s">
        <v>996</v>
      </c>
      <c r="J268" s="69" t="s">
        <v>25</v>
      </c>
      <c r="K268" s="69" t="s">
        <v>26</v>
      </c>
      <c r="L268" s="17">
        <v>3</v>
      </c>
      <c r="M268" s="71">
        <f>H268*10000*0.25</f>
        <v>25569.25</v>
      </c>
      <c r="N268" s="71">
        <f>M268*L268</f>
        <v>25569.25</v>
      </c>
      <c r="O268" s="71">
        <f>M268*3</f>
        <v>25569.25</v>
      </c>
      <c r="P268" s="71"/>
      <c r="Q268" s="71">
        <f>P268/70</f>
        <v>25569.25</v>
      </c>
      <c r="R268" s="71">
        <f>Q268*4</f>
        <v>25569.25</v>
      </c>
      <c r="S268" s="13"/>
      <c r="T268" s="13"/>
      <c r="U268" s="13"/>
      <c r="V268" s="13"/>
      <c r="W268" s="13"/>
    </row>
    <row x14ac:dyDescent="0.25" r="269" customHeight="1" ht="18.75" customFormat="1" s="1">
      <c r="A269" s="68">
        <v>14</v>
      </c>
      <c r="B269" s="69" t="s">
        <v>957</v>
      </c>
      <c r="C269" s="69" t="s">
        <v>997</v>
      </c>
      <c r="D269" s="69" t="s">
        <v>982</v>
      </c>
      <c r="E269" s="69" t="s">
        <v>28</v>
      </c>
      <c r="F269" s="69" t="s">
        <v>998</v>
      </c>
      <c r="G269" s="69" t="s">
        <v>30</v>
      </c>
      <c r="H269" s="70">
        <v>3.2</v>
      </c>
      <c r="I269" s="69" t="s">
        <v>999</v>
      </c>
      <c r="J269" s="69" t="s">
        <v>25</v>
      </c>
      <c r="K269" s="69" t="s">
        <v>48</v>
      </c>
      <c r="L269" s="17">
        <v>3</v>
      </c>
      <c r="M269" s="71">
        <f>H269*10000*0.25</f>
        <v>25569.25</v>
      </c>
      <c r="N269" s="71">
        <f>M269*L269</f>
        <v>25569.25</v>
      </c>
      <c r="O269" s="68">
        <f>M269*L269</f>
      </c>
      <c r="P269" s="71"/>
      <c r="Q269" s="71">
        <f>P269/70</f>
        <v>25569.25</v>
      </c>
      <c r="R269" s="71">
        <f>Q269*4</f>
        <v>25569.25</v>
      </c>
      <c r="S269" s="13"/>
      <c r="T269" s="13"/>
      <c r="U269" s="13"/>
      <c r="V269" s="13"/>
      <c r="W269" s="13"/>
    </row>
    <row x14ac:dyDescent="0.25" r="270" customHeight="1" ht="18.75" customFormat="1" s="1">
      <c r="A270" s="68">
        <v>15</v>
      </c>
      <c r="B270" s="69" t="s">
        <v>957</v>
      </c>
      <c r="C270" s="69" t="s">
        <v>997</v>
      </c>
      <c r="D270" s="69" t="s">
        <v>982</v>
      </c>
      <c r="E270" s="69" t="s">
        <v>1000</v>
      </c>
      <c r="F270" s="69" t="s">
        <v>998</v>
      </c>
      <c r="G270" s="69" t="s">
        <v>30</v>
      </c>
      <c r="H270" s="68">
        <v>6</v>
      </c>
      <c r="I270" s="69" t="s">
        <v>1001</v>
      </c>
      <c r="J270" s="69" t="s">
        <v>25</v>
      </c>
      <c r="K270" s="69" t="s">
        <v>48</v>
      </c>
      <c r="L270" s="17">
        <v>3</v>
      </c>
      <c r="M270" s="71">
        <f>H270*10000*0.25</f>
        <v>25569.25</v>
      </c>
      <c r="N270" s="71">
        <f>M270*L270</f>
        <v>25569.25</v>
      </c>
      <c r="O270" s="68">
        <f>M270*L270</f>
      </c>
      <c r="P270" s="71"/>
      <c r="Q270" s="71">
        <f>P270/70</f>
        <v>25569.25</v>
      </c>
      <c r="R270" s="71">
        <f>Q270*4</f>
        <v>25569.25</v>
      </c>
      <c r="S270" s="13"/>
      <c r="T270" s="13"/>
      <c r="U270" s="13"/>
      <c r="V270" s="13"/>
      <c r="W270" s="13"/>
    </row>
    <row x14ac:dyDescent="0.25" r="271" customHeight="1" ht="18.75" customFormat="1" s="1">
      <c r="A271" s="68">
        <v>16</v>
      </c>
      <c r="B271" s="69" t="s">
        <v>957</v>
      </c>
      <c r="C271" s="69" t="s">
        <v>1002</v>
      </c>
      <c r="D271" s="69" t="s">
        <v>982</v>
      </c>
      <c r="E271" s="69" t="s">
        <v>28</v>
      </c>
      <c r="F271" s="69" t="s">
        <v>998</v>
      </c>
      <c r="G271" s="69" t="s">
        <v>30</v>
      </c>
      <c r="H271" s="68">
        <v>3</v>
      </c>
      <c r="I271" s="69" t="s">
        <v>1003</v>
      </c>
      <c r="J271" s="69" t="s">
        <v>25</v>
      </c>
      <c r="K271" s="69" t="s">
        <v>48</v>
      </c>
      <c r="L271" s="17">
        <v>3</v>
      </c>
      <c r="M271" s="71">
        <f>H271*10000*0.25</f>
        <v>25569.25</v>
      </c>
      <c r="N271" s="71">
        <f>M271*L271</f>
        <v>25569.25</v>
      </c>
      <c r="O271" s="68">
        <f>M271*L271</f>
      </c>
      <c r="P271" s="71"/>
      <c r="Q271" s="71">
        <f>P271/70</f>
        <v>25569.25</v>
      </c>
      <c r="R271" s="71">
        <f>Q271*4</f>
        <v>25569.25</v>
      </c>
      <c r="S271" s="13"/>
      <c r="T271" s="13"/>
      <c r="U271" s="13"/>
      <c r="V271" s="13"/>
      <c r="W271" s="13"/>
    </row>
    <row x14ac:dyDescent="0.25" r="272" customHeight="1" ht="18.75" customFormat="1" s="1">
      <c r="A272" s="68">
        <v>17</v>
      </c>
      <c r="B272" s="69" t="s">
        <v>957</v>
      </c>
      <c r="C272" s="69" t="s">
        <v>1004</v>
      </c>
      <c r="D272" s="69" t="s">
        <v>559</v>
      </c>
      <c r="E272" s="69" t="s">
        <v>67</v>
      </c>
      <c r="F272" s="69" t="s">
        <v>960</v>
      </c>
      <c r="G272" s="69" t="s">
        <v>23</v>
      </c>
      <c r="H272" s="70">
        <v>12.2</v>
      </c>
      <c r="I272" s="69" t="s">
        <v>1005</v>
      </c>
      <c r="J272" s="69" t="s">
        <v>32</v>
      </c>
      <c r="K272" s="69" t="s">
        <v>48</v>
      </c>
      <c r="L272" s="17">
        <v>10</v>
      </c>
      <c r="M272" s="71">
        <f>H272*10000*0.25</f>
        <v>25569.25</v>
      </c>
      <c r="N272" s="71">
        <f>M272*L272</f>
        <v>25569.25</v>
      </c>
      <c r="O272" s="71">
        <f>M272*2</f>
        <v>25569.25</v>
      </c>
      <c r="P272" s="71">
        <f>M272*8*0.8</f>
        <v>25569.25</v>
      </c>
      <c r="Q272" s="71">
        <f>P272/70</f>
        <v>25569.25</v>
      </c>
      <c r="R272" s="71">
        <f>Q272*4</f>
        <v>25569.25</v>
      </c>
      <c r="S272" s="13"/>
      <c r="T272" s="13"/>
      <c r="U272" s="13"/>
      <c r="V272" s="13"/>
      <c r="W272" s="13"/>
    </row>
    <row x14ac:dyDescent="0.25" r="273" customHeight="1" ht="18.75" customFormat="1" s="1">
      <c r="A273" s="68">
        <v>18</v>
      </c>
      <c r="B273" s="69" t="s">
        <v>957</v>
      </c>
      <c r="C273" s="69" t="s">
        <v>1006</v>
      </c>
      <c r="D273" s="69" t="s">
        <v>1007</v>
      </c>
      <c r="E273" s="69" t="s">
        <v>559</v>
      </c>
      <c r="F273" s="69" t="s">
        <v>1008</v>
      </c>
      <c r="G273" s="69" t="s">
        <v>147</v>
      </c>
      <c r="H273" s="70">
        <v>1.9</v>
      </c>
      <c r="I273" s="69" t="s">
        <v>1009</v>
      </c>
      <c r="J273" s="69" t="s">
        <v>25</v>
      </c>
      <c r="K273" s="69" t="s">
        <v>48</v>
      </c>
      <c r="L273" s="17">
        <v>5</v>
      </c>
      <c r="M273" s="71">
        <f>H273*10000*0.25</f>
        <v>25569.25</v>
      </c>
      <c r="N273" s="71">
        <f>M273*L273</f>
        <v>25569.25</v>
      </c>
      <c r="O273" s="71">
        <f>M273*L273</f>
        <v>25569.25</v>
      </c>
      <c r="P273" s="71"/>
      <c r="Q273" s="71">
        <f>P273/70</f>
        <v>25569.25</v>
      </c>
      <c r="R273" s="71">
        <f>Q273*7</f>
        <v>25569.25</v>
      </c>
      <c r="S273" s="13"/>
      <c r="T273" s="13"/>
      <c r="U273" s="13"/>
      <c r="V273" s="13"/>
      <c r="W273" s="13"/>
    </row>
    <row x14ac:dyDescent="0.25" r="274" customHeight="1" ht="18.75" customFormat="1" s="1">
      <c r="A274" s="68">
        <v>19</v>
      </c>
      <c r="B274" s="69" t="s">
        <v>957</v>
      </c>
      <c r="C274" s="69" t="s">
        <v>1010</v>
      </c>
      <c r="D274" s="69" t="s">
        <v>102</v>
      </c>
      <c r="E274" s="69" t="s">
        <v>67</v>
      </c>
      <c r="F274" s="69" t="s">
        <v>960</v>
      </c>
      <c r="G274" s="69" t="s">
        <v>23</v>
      </c>
      <c r="H274" s="70">
        <v>17.1</v>
      </c>
      <c r="I274" s="69" t="s">
        <v>1011</v>
      </c>
      <c r="J274" s="69" t="s">
        <v>25</v>
      </c>
      <c r="K274" s="69" t="s">
        <v>59</v>
      </c>
      <c r="L274" s="17">
        <v>10</v>
      </c>
      <c r="M274" s="71">
        <f>H274*10000*0.25</f>
        <v>25569.25</v>
      </c>
      <c r="N274" s="71">
        <f>M274*L274</f>
        <v>25569.25</v>
      </c>
      <c r="O274" s="71">
        <f>M274*2</f>
        <v>25569.25</v>
      </c>
      <c r="P274" s="71">
        <f>M274*8*0.8</f>
        <v>25569.25</v>
      </c>
      <c r="Q274" s="71">
        <f>P274/70</f>
        <v>25569.25</v>
      </c>
      <c r="R274" s="71">
        <f>Q274*4</f>
        <v>25569.25</v>
      </c>
      <c r="S274" s="13"/>
      <c r="T274" s="13"/>
      <c r="U274" s="13"/>
      <c r="V274" s="13"/>
      <c r="W274" s="13"/>
    </row>
    <row x14ac:dyDescent="0.25" r="275" customHeight="1" ht="48.65" customFormat="1" s="1">
      <c r="A275" s="68">
        <v>20</v>
      </c>
      <c r="B275" s="69" t="s">
        <v>957</v>
      </c>
      <c r="C275" s="69" t="s">
        <v>1012</v>
      </c>
      <c r="D275" s="69" t="s">
        <v>102</v>
      </c>
      <c r="E275" s="69" t="s">
        <v>67</v>
      </c>
      <c r="F275" s="69" t="s">
        <v>960</v>
      </c>
      <c r="G275" s="69" t="s">
        <v>23</v>
      </c>
      <c r="H275" s="68">
        <v>263</v>
      </c>
      <c r="I275" s="69" t="s">
        <v>1013</v>
      </c>
      <c r="J275" s="69" t="s">
        <v>25</v>
      </c>
      <c r="K275" s="69" t="s">
        <v>59</v>
      </c>
      <c r="L275" s="17">
        <v>8</v>
      </c>
      <c r="M275" s="71">
        <f>H275*10000*0.25</f>
        <v>25569.25</v>
      </c>
      <c r="N275" s="71">
        <f>M275*L275</f>
        <v>25569.25</v>
      </c>
      <c r="O275" s="71">
        <f>M275*2</f>
        <v>25569.25</v>
      </c>
      <c r="P275" s="71">
        <f>M275*6*0.8</f>
        <v>25569.25</v>
      </c>
      <c r="Q275" s="71">
        <f>P275/70</f>
        <v>25569.25</v>
      </c>
      <c r="R275" s="71">
        <f>Q275*4</f>
        <v>25569.25</v>
      </c>
      <c r="S275" s="13"/>
      <c r="T275" s="13"/>
      <c r="U275" s="13"/>
      <c r="V275" s="13"/>
      <c r="W275" s="13"/>
    </row>
    <row x14ac:dyDescent="0.25" r="276" customHeight="1" ht="18.75" customFormat="1" s="1">
      <c r="A276" s="68">
        <v>21</v>
      </c>
      <c r="B276" s="69" t="s">
        <v>957</v>
      </c>
      <c r="C276" s="69" t="s">
        <v>1014</v>
      </c>
      <c r="D276" s="69" t="s">
        <v>1000</v>
      </c>
      <c r="E276" s="69" t="s">
        <v>67</v>
      </c>
      <c r="F276" s="69" t="s">
        <v>960</v>
      </c>
      <c r="G276" s="69" t="s">
        <v>23</v>
      </c>
      <c r="H276" s="68">
        <v>14</v>
      </c>
      <c r="I276" s="69" t="s">
        <v>1015</v>
      </c>
      <c r="J276" s="69" t="s">
        <v>25</v>
      </c>
      <c r="K276" s="69" t="s">
        <v>59</v>
      </c>
      <c r="L276" s="17">
        <v>10</v>
      </c>
      <c r="M276" s="71">
        <f>H276*10000*0.25</f>
        <v>25569.25</v>
      </c>
      <c r="N276" s="71">
        <f>M276*L276</f>
        <v>25569.25</v>
      </c>
      <c r="O276" s="71">
        <f>M276*2</f>
        <v>25569.25</v>
      </c>
      <c r="P276" s="71">
        <f>M276*8*0.8</f>
        <v>25569.25</v>
      </c>
      <c r="Q276" s="71">
        <f>P276/70</f>
        <v>25569.25</v>
      </c>
      <c r="R276" s="71">
        <f>Q276*4</f>
        <v>25569.25</v>
      </c>
      <c r="S276" s="13"/>
      <c r="T276" s="13"/>
      <c r="U276" s="13"/>
      <c r="V276" s="13"/>
      <c r="W276" s="13"/>
    </row>
    <row x14ac:dyDescent="0.25" r="277" customHeight="1" ht="18.75" customFormat="1" s="1">
      <c r="A277" s="68">
        <v>22</v>
      </c>
      <c r="B277" s="69" t="s">
        <v>957</v>
      </c>
      <c r="C277" s="69" t="s">
        <v>1016</v>
      </c>
      <c r="D277" s="69" t="s">
        <v>1000</v>
      </c>
      <c r="E277" s="69" t="s">
        <v>1017</v>
      </c>
      <c r="F277" s="69" t="s">
        <v>960</v>
      </c>
      <c r="G277" s="69" t="s">
        <v>23</v>
      </c>
      <c r="H277" s="70">
        <v>6.1</v>
      </c>
      <c r="I277" s="69" t="s">
        <v>1018</v>
      </c>
      <c r="J277" s="69" t="s">
        <v>25</v>
      </c>
      <c r="K277" s="69" t="s">
        <v>59</v>
      </c>
      <c r="L277" s="17">
        <v>12</v>
      </c>
      <c r="M277" s="71">
        <f>H277*10000*0.25</f>
        <v>25569.25</v>
      </c>
      <c r="N277" s="71">
        <f>M277*L277</f>
        <v>25569.25</v>
      </c>
      <c r="O277" s="71">
        <f>M277*2</f>
        <v>25569.25</v>
      </c>
      <c r="P277" s="71">
        <f>M277*10*0.8</f>
        <v>25569.25</v>
      </c>
      <c r="Q277" s="71">
        <f>P277/70</f>
        <v>25569.25</v>
      </c>
      <c r="R277" s="71">
        <f>Q277*4</f>
        <v>25569.25</v>
      </c>
      <c r="S277" s="13"/>
      <c r="T277" s="13"/>
      <c r="U277" s="13"/>
      <c r="V277" s="13"/>
      <c r="W277" s="13"/>
    </row>
    <row x14ac:dyDescent="0.25" r="278" customHeight="1" ht="18.75" customFormat="1" s="1">
      <c r="A278" s="68">
        <v>23</v>
      </c>
      <c r="B278" s="69" t="s">
        <v>957</v>
      </c>
      <c r="C278" s="69" t="s">
        <v>1019</v>
      </c>
      <c r="D278" s="69" t="s">
        <v>1000</v>
      </c>
      <c r="E278" s="69" t="s">
        <v>1017</v>
      </c>
      <c r="F278" s="69" t="s">
        <v>960</v>
      </c>
      <c r="G278" s="69" t="s">
        <v>23</v>
      </c>
      <c r="H278" s="70">
        <v>7.8</v>
      </c>
      <c r="I278" s="69" t="s">
        <v>1020</v>
      </c>
      <c r="J278" s="69" t="s">
        <v>25</v>
      </c>
      <c r="K278" s="69" t="s">
        <v>48</v>
      </c>
      <c r="L278" s="17">
        <v>12</v>
      </c>
      <c r="M278" s="71">
        <f>H278*10000*0.25</f>
        <v>25569.25</v>
      </c>
      <c r="N278" s="71">
        <f>M278*L278</f>
        <v>25569.25</v>
      </c>
      <c r="O278" s="71">
        <f>M278*2</f>
        <v>25569.25</v>
      </c>
      <c r="P278" s="71">
        <f>M278*10*0.8</f>
        <v>25569.25</v>
      </c>
      <c r="Q278" s="71">
        <f>P278/70</f>
        <v>25569.25</v>
      </c>
      <c r="R278" s="71">
        <f>Q278*4</f>
        <v>25569.25</v>
      </c>
      <c r="S278" s="13"/>
      <c r="T278" s="13"/>
      <c r="U278" s="13"/>
      <c r="V278" s="13"/>
      <c r="W278" s="13"/>
    </row>
    <row x14ac:dyDescent="0.25" r="279" customHeight="1" ht="18.75" customFormat="1" s="1">
      <c r="A279" s="68">
        <v>24</v>
      </c>
      <c r="B279" s="69" t="s">
        <v>957</v>
      </c>
      <c r="C279" s="69" t="s">
        <v>1021</v>
      </c>
      <c r="D279" s="69" t="s">
        <v>552</v>
      </c>
      <c r="E279" s="69" t="s">
        <v>559</v>
      </c>
      <c r="F279" s="69" t="s">
        <v>998</v>
      </c>
      <c r="G279" s="69" t="s">
        <v>30</v>
      </c>
      <c r="H279" s="70">
        <v>22.8</v>
      </c>
      <c r="I279" s="69" t="s">
        <v>1022</v>
      </c>
      <c r="J279" s="69" t="s">
        <v>25</v>
      </c>
      <c r="K279" s="69" t="s">
        <v>59</v>
      </c>
      <c r="L279" s="17">
        <v>4</v>
      </c>
      <c r="M279" s="71">
        <f>H279*10000*0.25</f>
        <v>25569.25</v>
      </c>
      <c r="N279" s="71">
        <f>M279*L279</f>
        <v>25569.25</v>
      </c>
      <c r="O279" s="71">
        <f>M279*L279</f>
        <v>25569.25</v>
      </c>
      <c r="P279" s="71"/>
      <c r="Q279" s="71">
        <f>P279/70</f>
        <v>25569.25</v>
      </c>
      <c r="R279" s="71">
        <f>Q279*7</f>
        <v>25569.25</v>
      </c>
      <c r="S279" s="13"/>
      <c r="T279" s="13"/>
      <c r="U279" s="13"/>
      <c r="V279" s="13"/>
      <c r="W279" s="13"/>
    </row>
    <row x14ac:dyDescent="0.25" r="280" customHeight="1" ht="18.75" customFormat="1" s="1">
      <c r="A280" s="68">
        <v>25</v>
      </c>
      <c r="B280" s="69" t="s">
        <v>957</v>
      </c>
      <c r="C280" s="69" t="s">
        <v>1023</v>
      </c>
      <c r="D280" s="69" t="s">
        <v>590</v>
      </c>
      <c r="E280" s="69" t="s">
        <v>1017</v>
      </c>
      <c r="F280" s="69" t="s">
        <v>960</v>
      </c>
      <c r="G280" s="69" t="s">
        <v>23</v>
      </c>
      <c r="H280" s="70">
        <v>34.4</v>
      </c>
      <c r="I280" s="69" t="s">
        <v>1024</v>
      </c>
      <c r="J280" s="69" t="s">
        <v>32</v>
      </c>
      <c r="K280" s="69" t="s">
        <v>59</v>
      </c>
      <c r="L280" s="17">
        <v>10</v>
      </c>
      <c r="M280" s="71">
        <f>H280*10000*0.25</f>
        <v>25569.25</v>
      </c>
      <c r="N280" s="71">
        <f>M280*L280</f>
        <v>25569.25</v>
      </c>
      <c r="O280" s="71">
        <f>M280*2</f>
        <v>25569.25</v>
      </c>
      <c r="P280" s="71">
        <f>M280*8*0.8</f>
        <v>25569.25</v>
      </c>
      <c r="Q280" s="71">
        <f>P280/70</f>
        <v>25569.25</v>
      </c>
      <c r="R280" s="71">
        <f>Q280*4</f>
        <v>25569.25</v>
      </c>
      <c r="S280" s="13"/>
      <c r="T280" s="13"/>
      <c r="U280" s="13"/>
      <c r="V280" s="13"/>
      <c r="W280" s="13"/>
    </row>
    <row x14ac:dyDescent="0.25" r="281" customHeight="1" ht="18.75" customFormat="1" s="1">
      <c r="A281" s="68">
        <v>26</v>
      </c>
      <c r="B281" s="69" t="s">
        <v>957</v>
      </c>
      <c r="C281" s="69" t="s">
        <v>1025</v>
      </c>
      <c r="D281" s="69" t="s">
        <v>968</v>
      </c>
      <c r="E281" s="69" t="s">
        <v>969</v>
      </c>
      <c r="F281" s="69" t="s">
        <v>960</v>
      </c>
      <c r="G281" s="69" t="s">
        <v>23</v>
      </c>
      <c r="H281" s="68">
        <v>45</v>
      </c>
      <c r="I281" s="69" t="s">
        <v>1026</v>
      </c>
      <c r="J281" s="69" t="s">
        <v>25</v>
      </c>
      <c r="K281" s="69" t="s">
        <v>59</v>
      </c>
      <c r="L281" s="17">
        <v>16</v>
      </c>
      <c r="M281" s="71">
        <f>H281*10000*0.25</f>
        <v>25569.25</v>
      </c>
      <c r="N281" s="71">
        <f>M281*L281</f>
        <v>25569.25</v>
      </c>
      <c r="O281" s="71">
        <f>M281*6</f>
        <v>25569.25</v>
      </c>
      <c r="P281" s="71">
        <f>M281*10*0.8</f>
        <v>25569.25</v>
      </c>
      <c r="Q281" s="71">
        <f>P281/70</f>
        <v>25569.25</v>
      </c>
      <c r="R281" s="72">
        <f>Q281*4</f>
      </c>
      <c r="S281" s="13"/>
      <c r="T281" s="13"/>
      <c r="U281" s="13"/>
      <c r="V281" s="13"/>
      <c r="W281" s="13"/>
    </row>
    <row x14ac:dyDescent="0.25" r="282" customHeight="1" ht="18.75" customFormat="1" s="1">
      <c r="A282" s="68">
        <v>27</v>
      </c>
      <c r="B282" s="69" t="s">
        <v>957</v>
      </c>
      <c r="C282" s="69" t="s">
        <v>1027</v>
      </c>
      <c r="D282" s="69" t="s">
        <v>1028</v>
      </c>
      <c r="E282" s="69" t="s">
        <v>67</v>
      </c>
      <c r="F282" s="69" t="s">
        <v>960</v>
      </c>
      <c r="G282" s="69" t="s">
        <v>23</v>
      </c>
      <c r="H282" s="68">
        <v>33</v>
      </c>
      <c r="I282" s="69" t="s">
        <v>1029</v>
      </c>
      <c r="J282" s="69" t="s">
        <v>25</v>
      </c>
      <c r="K282" s="69" t="s">
        <v>59</v>
      </c>
      <c r="L282" s="17">
        <v>10</v>
      </c>
      <c r="M282" s="71">
        <f>H282*10000*0.25</f>
        <v>25569.25</v>
      </c>
      <c r="N282" s="71">
        <f>M282*L282</f>
        <v>25569.25</v>
      </c>
      <c r="O282" s="71">
        <f>M282*2</f>
        <v>25569.25</v>
      </c>
      <c r="P282" s="71">
        <f>M282*8*0.8</f>
        <v>25569.25</v>
      </c>
      <c r="Q282" s="71">
        <f>P282/70</f>
        <v>25569.25</v>
      </c>
      <c r="R282" s="71">
        <f>Q282*4</f>
        <v>25569.25</v>
      </c>
      <c r="S282" s="13"/>
      <c r="T282" s="13"/>
      <c r="U282" s="13"/>
      <c r="V282" s="13"/>
      <c r="W282" s="13"/>
    </row>
    <row x14ac:dyDescent="0.25" r="283" customHeight="1" ht="18.75" customFormat="1" s="1">
      <c r="A283" s="68">
        <v>28</v>
      </c>
      <c r="B283" s="69" t="s">
        <v>957</v>
      </c>
      <c r="C283" s="69" t="s">
        <v>1030</v>
      </c>
      <c r="D283" s="69" t="s">
        <v>1031</v>
      </c>
      <c r="E283" s="69" t="s">
        <v>559</v>
      </c>
      <c r="F283" s="69" t="s">
        <v>1032</v>
      </c>
      <c r="G283" s="69" t="s">
        <v>30</v>
      </c>
      <c r="H283" s="70">
        <v>7.1</v>
      </c>
      <c r="I283" s="69" t="s">
        <v>1033</v>
      </c>
      <c r="J283" s="69" t="s">
        <v>111</v>
      </c>
      <c r="K283" s="69" t="s">
        <v>59</v>
      </c>
      <c r="L283" s="17">
        <v>4</v>
      </c>
      <c r="M283" s="71">
        <f>H283*10000*0.25</f>
        <v>25569.25</v>
      </c>
      <c r="N283" s="71">
        <f>M283*L283</f>
        <v>25569.25</v>
      </c>
      <c r="O283" s="71">
        <f>M283*L283</f>
        <v>25569.25</v>
      </c>
      <c r="P283" s="71"/>
      <c r="Q283" s="71">
        <f>P283/70</f>
        <v>25569.25</v>
      </c>
      <c r="R283" s="71">
        <f>Q283*7</f>
        <v>25569.25</v>
      </c>
      <c r="S283" s="13"/>
      <c r="T283" s="13"/>
      <c r="U283" s="13"/>
      <c r="V283" s="13"/>
      <c r="W283" s="13"/>
    </row>
    <row x14ac:dyDescent="0.25" r="284" customHeight="1" ht="18.75" customFormat="1" s="1">
      <c r="A284" s="68">
        <v>29</v>
      </c>
      <c r="B284" s="69" t="s">
        <v>957</v>
      </c>
      <c r="C284" s="69" t="s">
        <v>1034</v>
      </c>
      <c r="D284" s="69" t="s">
        <v>584</v>
      </c>
      <c r="E284" s="69" t="s">
        <v>725</v>
      </c>
      <c r="F284" s="69" t="s">
        <v>979</v>
      </c>
      <c r="G284" s="69" t="s">
        <v>23</v>
      </c>
      <c r="H284" s="70">
        <v>1.8</v>
      </c>
      <c r="I284" s="69" t="s">
        <v>1035</v>
      </c>
      <c r="J284" s="69" t="s">
        <v>32</v>
      </c>
      <c r="K284" s="69" t="s">
        <v>48</v>
      </c>
      <c r="L284" s="17">
        <v>8</v>
      </c>
      <c r="M284" s="71">
        <f>H284*10000*0.25</f>
        <v>25569.25</v>
      </c>
      <c r="N284" s="71">
        <f>M284*L284</f>
        <v>25569.25</v>
      </c>
      <c r="O284" s="71">
        <f>M284*2</f>
        <v>25569.25</v>
      </c>
      <c r="P284" s="71">
        <f>M284*6*0.8</f>
        <v>25569.25</v>
      </c>
      <c r="Q284" s="71">
        <f>P284/70</f>
        <v>25569.25</v>
      </c>
      <c r="R284" s="71">
        <f>Q284*4</f>
        <v>25569.25</v>
      </c>
      <c r="S284" s="13"/>
      <c r="T284" s="13"/>
      <c r="U284" s="13"/>
      <c r="V284" s="13"/>
      <c r="W284" s="13"/>
    </row>
    <row x14ac:dyDescent="0.25" r="285" customHeight="1" ht="18.75" customFormat="1" s="1">
      <c r="A285" s="68">
        <v>30</v>
      </c>
      <c r="B285" s="69" t="s">
        <v>957</v>
      </c>
      <c r="C285" s="69" t="s">
        <v>1036</v>
      </c>
      <c r="D285" s="69" t="s">
        <v>552</v>
      </c>
      <c r="E285" s="69" t="s">
        <v>67</v>
      </c>
      <c r="F285" s="69" t="s">
        <v>979</v>
      </c>
      <c r="G285" s="69" t="s">
        <v>23</v>
      </c>
      <c r="H285" s="70">
        <v>12.8</v>
      </c>
      <c r="I285" s="69" t="s">
        <v>1037</v>
      </c>
      <c r="J285" s="69" t="s">
        <v>25</v>
      </c>
      <c r="K285" s="69" t="s">
        <v>59</v>
      </c>
      <c r="L285" s="17">
        <v>10</v>
      </c>
      <c r="M285" s="71">
        <f>H285*10000*0.25</f>
        <v>25569.25</v>
      </c>
      <c r="N285" s="71">
        <f>M285*L285</f>
        <v>25569.25</v>
      </c>
      <c r="O285" s="71">
        <f>M285*2</f>
        <v>25569.25</v>
      </c>
      <c r="P285" s="71">
        <f>M285*8*0.8</f>
        <v>25569.25</v>
      </c>
      <c r="Q285" s="71">
        <f>P285/70</f>
        <v>25569.25</v>
      </c>
      <c r="R285" s="71">
        <f>Q285*4</f>
        <v>25569.25</v>
      </c>
      <c r="S285" s="13"/>
      <c r="T285" s="13"/>
      <c r="U285" s="13"/>
      <c r="V285" s="13"/>
      <c r="W285" s="13"/>
    </row>
    <row x14ac:dyDescent="0.25" r="286" customHeight="1" ht="18.75">
      <c r="A286" s="68">
        <v>31</v>
      </c>
      <c r="B286" s="69" t="s">
        <v>957</v>
      </c>
      <c r="C286" s="69" t="s">
        <v>1038</v>
      </c>
      <c r="D286" s="69" t="s">
        <v>552</v>
      </c>
      <c r="E286" s="69" t="s">
        <v>1000</v>
      </c>
      <c r="F286" s="69" t="s">
        <v>104</v>
      </c>
      <c r="G286" s="69" t="s">
        <v>104</v>
      </c>
      <c r="H286" s="70">
        <v>0.1</v>
      </c>
      <c r="I286" s="69" t="s">
        <v>1039</v>
      </c>
      <c r="J286" s="69" t="s">
        <v>25</v>
      </c>
      <c r="K286" s="69" t="s">
        <v>48</v>
      </c>
      <c r="L286" s="43">
        <v>5</v>
      </c>
      <c r="M286" s="71">
        <f>H286*10000</f>
        <v>25569.25</v>
      </c>
      <c r="N286" s="71">
        <f>M286*L286</f>
        <v>25569.25</v>
      </c>
      <c r="O286" s="71">
        <f>M286*L286</f>
        <v>25569.25</v>
      </c>
      <c r="P286" s="71"/>
      <c r="Q286" s="71"/>
      <c r="R286" s="71"/>
      <c r="S286" s="13"/>
      <c r="T286" s="13"/>
      <c r="U286" s="13"/>
      <c r="V286" s="18"/>
      <c r="W286" s="13"/>
    </row>
    <row x14ac:dyDescent="0.25" r="287" customHeight="1" ht="18.75">
      <c r="A287" s="68">
        <v>32</v>
      </c>
      <c r="B287" s="69" t="s">
        <v>957</v>
      </c>
      <c r="C287" s="69" t="s">
        <v>1040</v>
      </c>
      <c r="D287" s="69" t="s">
        <v>552</v>
      </c>
      <c r="E287" s="69" t="s">
        <v>108</v>
      </c>
      <c r="F287" s="69" t="s">
        <v>1032</v>
      </c>
      <c r="G287" s="69" t="s">
        <v>30</v>
      </c>
      <c r="H287" s="70">
        <v>0.8</v>
      </c>
      <c r="I287" s="69" t="s">
        <v>1041</v>
      </c>
      <c r="J287" s="69" t="s">
        <v>25</v>
      </c>
      <c r="K287" s="69" t="s">
        <v>48</v>
      </c>
      <c r="L287" s="43">
        <v>6</v>
      </c>
      <c r="M287" s="71">
        <f>H287*10000*0.25</f>
        <v>25569.25</v>
      </c>
      <c r="N287" s="71">
        <f>M287*L287</f>
        <v>25569.25</v>
      </c>
      <c r="O287" s="71">
        <f>M287*L287</f>
        <v>25569.25</v>
      </c>
      <c r="P287" s="71"/>
      <c r="Q287" s="71">
        <f>P287/70</f>
        <v>25569.25</v>
      </c>
      <c r="R287" s="71">
        <f>Q287*7</f>
        <v>25569.25</v>
      </c>
      <c r="S287" s="13"/>
      <c r="T287" s="13"/>
      <c r="U287" s="13"/>
      <c r="V287" s="18"/>
      <c r="W287" s="13"/>
    </row>
    <row x14ac:dyDescent="0.25" r="288" customHeight="1" ht="18.75">
      <c r="A288" s="68">
        <v>33</v>
      </c>
      <c r="B288" s="69" t="s">
        <v>957</v>
      </c>
      <c r="C288" s="69" t="s">
        <v>1042</v>
      </c>
      <c r="D288" s="69" t="s">
        <v>552</v>
      </c>
      <c r="E288" s="69" t="s">
        <v>1007</v>
      </c>
      <c r="F288" s="69" t="s">
        <v>998</v>
      </c>
      <c r="G288" s="69" t="s">
        <v>30</v>
      </c>
      <c r="H288" s="70">
        <v>0.09</v>
      </c>
      <c r="I288" s="69" t="s">
        <v>1043</v>
      </c>
      <c r="J288" s="69" t="s">
        <v>25</v>
      </c>
      <c r="K288" s="69" t="s">
        <v>26</v>
      </c>
      <c r="L288" s="43">
        <v>2</v>
      </c>
      <c r="M288" s="71">
        <f>H288*10000*0.25</f>
        <v>25569.25</v>
      </c>
      <c r="N288" s="71">
        <f>M288*L288</f>
        <v>25569.25</v>
      </c>
      <c r="O288" s="71">
        <f>M288*L288</f>
        <v>25569.25</v>
      </c>
      <c r="P288" s="71"/>
      <c r="Q288" s="71">
        <f>P288/70</f>
        <v>25569.25</v>
      </c>
      <c r="R288" s="71">
        <f>Q288*7</f>
        <v>25569.25</v>
      </c>
      <c r="S288" s="13"/>
      <c r="T288" s="13"/>
      <c r="U288" s="13"/>
      <c r="V288" s="18"/>
      <c r="W288" s="13"/>
    </row>
    <row x14ac:dyDescent="0.25" r="289" customHeight="1" ht="18.75">
      <c r="A289" s="68">
        <v>34</v>
      </c>
      <c r="B289" s="69" t="s">
        <v>957</v>
      </c>
      <c r="C289" s="69" t="s">
        <v>1044</v>
      </c>
      <c r="D289" s="69" t="s">
        <v>552</v>
      </c>
      <c r="E289" s="69" t="s">
        <v>559</v>
      </c>
      <c r="F289" s="69" t="s">
        <v>1045</v>
      </c>
      <c r="G289" s="69" t="s">
        <v>30</v>
      </c>
      <c r="H289" s="68">
        <v>7</v>
      </c>
      <c r="I289" s="69" t="s">
        <v>1046</v>
      </c>
      <c r="J289" s="69" t="s">
        <v>25</v>
      </c>
      <c r="K289" s="69" t="s">
        <v>59</v>
      </c>
      <c r="L289" s="43">
        <v>6</v>
      </c>
      <c r="M289" s="71">
        <f>H289*10000*0.25</f>
        <v>25569.25</v>
      </c>
      <c r="N289" s="71">
        <f>M289*L289</f>
        <v>25569.25</v>
      </c>
      <c r="O289" s="71">
        <f>M289*L289</f>
        <v>25569.25</v>
      </c>
      <c r="P289" s="71"/>
      <c r="Q289" s="71">
        <f>P289/70</f>
        <v>25569.25</v>
      </c>
      <c r="R289" s="71">
        <f>Q289*7</f>
        <v>25569.25</v>
      </c>
      <c r="S289" s="13"/>
      <c r="T289" s="13"/>
      <c r="U289" s="13"/>
      <c r="V289" s="18"/>
      <c r="W289" s="13"/>
    </row>
    <row x14ac:dyDescent="0.25" r="290" customHeight="1" ht="18.75">
      <c r="A290" s="68">
        <v>35</v>
      </c>
      <c r="B290" s="69" t="s">
        <v>957</v>
      </c>
      <c r="C290" s="69" t="s">
        <v>1047</v>
      </c>
      <c r="D290" s="69" t="s">
        <v>552</v>
      </c>
      <c r="E290" s="69" t="s">
        <v>1000</v>
      </c>
      <c r="F290" s="69" t="s">
        <v>1045</v>
      </c>
      <c r="G290" s="69" t="s">
        <v>30</v>
      </c>
      <c r="H290" s="70">
        <v>1.5</v>
      </c>
      <c r="I290" s="69" t="s">
        <v>1048</v>
      </c>
      <c r="J290" s="69" t="s">
        <v>111</v>
      </c>
      <c r="K290" s="69" t="s">
        <v>59</v>
      </c>
      <c r="L290" s="43">
        <v>4</v>
      </c>
      <c r="M290" s="71">
        <f>H290*10000*0.25</f>
        <v>25569.25</v>
      </c>
      <c r="N290" s="71">
        <f>M290*L290</f>
        <v>25569.25</v>
      </c>
      <c r="O290" s="71">
        <f>M290*L290</f>
        <v>25569.25</v>
      </c>
      <c r="P290" s="71"/>
      <c r="Q290" s="71">
        <f>P290/70</f>
        <v>25569.25</v>
      </c>
      <c r="R290" s="71">
        <f>Q290*7</f>
        <v>25569.25</v>
      </c>
      <c r="S290" s="13"/>
      <c r="T290" s="13"/>
      <c r="U290" s="13"/>
      <c r="V290" s="18"/>
      <c r="W290" s="13"/>
    </row>
    <row x14ac:dyDescent="0.25" r="291" customHeight="1" ht="18.75">
      <c r="A291" s="68">
        <v>36</v>
      </c>
      <c r="B291" s="69" t="s">
        <v>957</v>
      </c>
      <c r="C291" s="69" t="s">
        <v>997</v>
      </c>
      <c r="D291" s="69" t="s">
        <v>1031</v>
      </c>
      <c r="E291" s="69" t="s">
        <v>1049</v>
      </c>
      <c r="F291" s="69" t="s">
        <v>1045</v>
      </c>
      <c r="G291" s="73" t="s">
        <v>30</v>
      </c>
      <c r="H291" s="70">
        <v>0.8</v>
      </c>
      <c r="I291" s="69" t="s">
        <v>1050</v>
      </c>
      <c r="J291" s="69" t="s">
        <v>111</v>
      </c>
      <c r="K291" s="69" t="s">
        <v>59</v>
      </c>
      <c r="L291" s="43">
        <v>2</v>
      </c>
      <c r="M291" s="71">
        <f>H291*10000*0.25</f>
        <v>25569.25</v>
      </c>
      <c r="N291" s="71">
        <f>M291*L291</f>
        <v>25569.25</v>
      </c>
      <c r="O291" s="71">
        <f>M291*L291</f>
        <v>25569.25</v>
      </c>
      <c r="P291" s="71"/>
      <c r="Q291" s="71">
        <f>P291/70</f>
        <v>25569.25</v>
      </c>
      <c r="R291" s="71">
        <f>Q291*7</f>
        <v>25569.25</v>
      </c>
      <c r="S291" s="13"/>
      <c r="T291" s="13"/>
      <c r="U291" s="13"/>
      <c r="V291" s="18"/>
      <c r="W291" s="13"/>
    </row>
    <row x14ac:dyDescent="0.25" r="292" customHeight="1" ht="18.75" customFormat="1" s="1">
      <c r="A292" s="68">
        <v>37</v>
      </c>
      <c r="B292" s="69" t="s">
        <v>957</v>
      </c>
      <c r="C292" s="69" t="s">
        <v>1051</v>
      </c>
      <c r="D292" s="69" t="s">
        <v>552</v>
      </c>
      <c r="E292" s="69" t="s">
        <v>1052</v>
      </c>
      <c r="F292" s="69" t="s">
        <v>998</v>
      </c>
      <c r="G292" s="73" t="s">
        <v>30</v>
      </c>
      <c r="H292" s="70">
        <v>3.6</v>
      </c>
      <c r="I292" s="69" t="s">
        <v>1053</v>
      </c>
      <c r="J292" s="69" t="s">
        <v>111</v>
      </c>
      <c r="K292" s="69" t="s">
        <v>26</v>
      </c>
      <c r="L292" s="74">
        <v>4</v>
      </c>
      <c r="M292" s="71">
        <f>H292*10000*0.25</f>
        <v>25569.25</v>
      </c>
      <c r="N292" s="71">
        <f>M292*L292</f>
        <v>25569.25</v>
      </c>
      <c r="O292" s="71">
        <f>M292*L292</f>
        <v>25569.25</v>
      </c>
      <c r="P292" s="71"/>
      <c r="Q292" s="71">
        <f>P292/70</f>
        <v>25569.25</v>
      </c>
      <c r="R292" s="71">
        <f>Q292*7</f>
        <v>25569.25</v>
      </c>
      <c r="S292" s="13"/>
      <c r="T292" s="13"/>
      <c r="U292" s="13"/>
      <c r="V292" s="13"/>
      <c r="W292" s="13"/>
    </row>
    <row x14ac:dyDescent="0.25" r="293" customHeight="1" ht="49.5">
      <c r="A293" s="27" t="s">
        <v>1054</v>
      </c>
      <c r="B293" s="37" t="s">
        <v>957</v>
      </c>
      <c r="C293" s="37" t="s">
        <v>1055</v>
      </c>
      <c r="D293" s="37" t="s">
        <v>552</v>
      </c>
      <c r="E293" s="37" t="s">
        <v>1056</v>
      </c>
      <c r="F293" s="37" t="s">
        <v>842</v>
      </c>
      <c r="G293" s="37" t="s">
        <v>643</v>
      </c>
      <c r="H293" s="38">
        <v>0.45</v>
      </c>
      <c r="I293" s="37" t="s">
        <v>1057</v>
      </c>
      <c r="J293" s="37" t="s">
        <v>25</v>
      </c>
      <c r="K293" s="37" t="s">
        <v>48</v>
      </c>
      <c r="L293" s="45">
        <v>22</v>
      </c>
      <c r="M293" s="23">
        <f>H293*10000*0.25</f>
      </c>
      <c r="N293" s="23">
        <f>M293*L293</f>
      </c>
      <c r="O293" s="23">
        <f>M293*L293</f>
      </c>
      <c r="P293" s="23">
        <v>0</v>
      </c>
      <c r="Q293" s="23">
        <f>P293/70</f>
      </c>
      <c r="R293" s="23">
        <f>Q293*4</f>
      </c>
      <c r="S293" s="13"/>
      <c r="T293" s="13"/>
      <c r="U293" s="13"/>
      <c r="V293" s="18"/>
      <c r="W293" s="13"/>
    </row>
    <row x14ac:dyDescent="0.25" r="294" customHeight="1" ht="18.75">
      <c r="A294" s="75">
        <v>1</v>
      </c>
      <c r="B294" s="76" t="s">
        <v>1058</v>
      </c>
      <c r="C294" s="76" t="s">
        <v>1059</v>
      </c>
      <c r="D294" s="76" t="s">
        <v>1060</v>
      </c>
      <c r="E294" s="76" t="s">
        <v>56</v>
      </c>
      <c r="F294" s="76" t="s">
        <v>1061</v>
      </c>
      <c r="G294" s="76" t="s">
        <v>23</v>
      </c>
      <c r="H294" s="77">
        <v>8.8</v>
      </c>
      <c r="I294" s="76" t="s">
        <v>1062</v>
      </c>
      <c r="J294" s="76" t="s">
        <v>32</v>
      </c>
      <c r="K294" s="76" t="s">
        <v>59</v>
      </c>
      <c r="L294" s="29">
        <v>8</v>
      </c>
      <c r="M294" s="78">
        <f>H294*10000*0.25</f>
      </c>
      <c r="N294" s="78">
        <f>M294*L294</f>
      </c>
      <c r="O294" s="78">
        <f>M294*2</f>
      </c>
      <c r="P294" s="78">
        <f>M294*6*0.8</f>
      </c>
      <c r="Q294" s="78">
        <f>P294/70</f>
      </c>
      <c r="R294" s="78">
        <f>Q294*4</f>
      </c>
      <c r="S294" s="13"/>
      <c r="T294" s="13"/>
      <c r="U294" s="13"/>
      <c r="V294" s="18"/>
      <c r="W294" s="13"/>
    </row>
    <row x14ac:dyDescent="0.25" r="295" customHeight="1" ht="18.75">
      <c r="A295" s="75">
        <v>2</v>
      </c>
      <c r="B295" s="76" t="s">
        <v>1058</v>
      </c>
      <c r="C295" s="76" t="s">
        <v>1063</v>
      </c>
      <c r="D295" s="76" t="s">
        <v>1064</v>
      </c>
      <c r="E295" s="76" t="s">
        <v>56</v>
      </c>
      <c r="F295" s="76" t="s">
        <v>1065</v>
      </c>
      <c r="G295" s="76" t="s">
        <v>23</v>
      </c>
      <c r="H295" s="77">
        <v>16.6</v>
      </c>
      <c r="I295" s="76" t="s">
        <v>1066</v>
      </c>
      <c r="J295" s="76" t="s">
        <v>32</v>
      </c>
      <c r="K295" s="76" t="s">
        <v>59</v>
      </c>
      <c r="L295" s="29">
        <v>8</v>
      </c>
      <c r="M295" s="78">
        <f>H295*10000*0.25</f>
      </c>
      <c r="N295" s="78">
        <f>M295*L295</f>
      </c>
      <c r="O295" s="78">
        <f>M295*2</f>
      </c>
      <c r="P295" s="78">
        <f>M295*6*0.8</f>
      </c>
      <c r="Q295" s="78">
        <f>P295/70</f>
      </c>
      <c r="R295" s="78">
        <f>Q295*4</f>
      </c>
      <c r="S295" s="13"/>
      <c r="T295" s="13"/>
      <c r="U295" s="13"/>
      <c r="V295" s="18"/>
      <c r="W295" s="13"/>
    </row>
    <row x14ac:dyDescent="0.25" r="296" customHeight="1" ht="18.75">
      <c r="A296" s="75">
        <v>3</v>
      </c>
      <c r="B296" s="76" t="s">
        <v>1058</v>
      </c>
      <c r="C296" s="76" t="s">
        <v>1067</v>
      </c>
      <c r="D296" s="76" t="s">
        <v>1068</v>
      </c>
      <c r="E296" s="76" t="s">
        <v>56</v>
      </c>
      <c r="F296" s="76" t="s">
        <v>1069</v>
      </c>
      <c r="G296" s="76" t="s">
        <v>23</v>
      </c>
      <c r="H296" s="77">
        <v>4.7</v>
      </c>
      <c r="I296" s="76" t="s">
        <v>1070</v>
      </c>
      <c r="J296" s="76" t="s">
        <v>32</v>
      </c>
      <c r="K296" s="76" t="s">
        <v>59</v>
      </c>
      <c r="L296" s="29">
        <v>10</v>
      </c>
      <c r="M296" s="78">
        <f>H296*10000*0.25</f>
      </c>
      <c r="N296" s="78">
        <f>M296*L296</f>
      </c>
      <c r="O296" s="78">
        <f>M296*2</f>
      </c>
      <c r="P296" s="78">
        <f>M296*8*0.8</f>
      </c>
      <c r="Q296" s="78">
        <f>P296/70</f>
      </c>
      <c r="R296" s="78">
        <f>Q296*4</f>
      </c>
      <c r="S296" s="13"/>
      <c r="T296" s="13"/>
      <c r="U296" s="13"/>
      <c r="V296" s="18"/>
      <c r="W296" s="13"/>
    </row>
    <row x14ac:dyDescent="0.25" r="297" customHeight="1" ht="18.75">
      <c r="A297" s="75">
        <v>4</v>
      </c>
      <c r="B297" s="76" t="s">
        <v>1058</v>
      </c>
      <c r="C297" s="76" t="s">
        <v>1071</v>
      </c>
      <c r="D297" s="76" t="s">
        <v>1068</v>
      </c>
      <c r="E297" s="76" t="s">
        <v>67</v>
      </c>
      <c r="F297" s="76" t="s">
        <v>1072</v>
      </c>
      <c r="G297" s="76" t="s">
        <v>23</v>
      </c>
      <c r="H297" s="77">
        <v>17.8</v>
      </c>
      <c r="I297" s="76" t="s">
        <v>1073</v>
      </c>
      <c r="J297" s="76" t="s">
        <v>32</v>
      </c>
      <c r="K297" s="76" t="s">
        <v>59</v>
      </c>
      <c r="L297" s="29">
        <v>10</v>
      </c>
      <c r="M297" s="78">
        <f>H297*10000*0.25</f>
      </c>
      <c r="N297" s="78">
        <f>M297*L297</f>
      </c>
      <c r="O297" s="78">
        <f>M297*2</f>
      </c>
      <c r="P297" s="78">
        <f>M297*8*0.8</f>
      </c>
      <c r="Q297" s="78">
        <f>P297/70</f>
      </c>
      <c r="R297" s="78">
        <f>Q297*4</f>
      </c>
      <c r="S297" s="13"/>
      <c r="T297" s="13"/>
      <c r="U297" s="13"/>
      <c r="V297" s="18"/>
      <c r="W297" s="13"/>
    </row>
    <row x14ac:dyDescent="0.25" r="298" customHeight="1" ht="18.75">
      <c r="A298" s="75">
        <v>5</v>
      </c>
      <c r="B298" s="76" t="s">
        <v>1058</v>
      </c>
      <c r="C298" s="76" t="s">
        <v>1074</v>
      </c>
      <c r="D298" s="76" t="s">
        <v>1075</v>
      </c>
      <c r="E298" s="76" t="s">
        <v>67</v>
      </c>
      <c r="F298" s="76" t="s">
        <v>1072</v>
      </c>
      <c r="G298" s="76" t="s">
        <v>23</v>
      </c>
      <c r="H298" s="77">
        <v>4.2</v>
      </c>
      <c r="I298" s="76" t="s">
        <v>1076</v>
      </c>
      <c r="J298" s="76" t="s">
        <v>32</v>
      </c>
      <c r="K298" s="76" t="s">
        <v>59</v>
      </c>
      <c r="L298" s="29">
        <v>12</v>
      </c>
      <c r="M298" s="78">
        <f>H298*10000*0.25</f>
      </c>
      <c r="N298" s="78">
        <f>M298*L298</f>
      </c>
      <c r="O298" s="78">
        <f>M298*2</f>
      </c>
      <c r="P298" s="78">
        <f>M298*8*0.8</f>
      </c>
      <c r="Q298" s="78">
        <f>P298/70</f>
      </c>
      <c r="R298" s="78">
        <f>Q298*4</f>
      </c>
      <c r="S298" s="13"/>
      <c r="T298" s="13"/>
      <c r="U298" s="13"/>
      <c r="V298" s="18"/>
      <c r="W298" s="13"/>
    </row>
    <row x14ac:dyDescent="0.25" r="299" customHeight="1" ht="18.75">
      <c r="A299" s="75">
        <v>6</v>
      </c>
      <c r="B299" s="76" t="s">
        <v>1058</v>
      </c>
      <c r="C299" s="76" t="s">
        <v>1077</v>
      </c>
      <c r="D299" s="76" t="s">
        <v>1078</v>
      </c>
      <c r="E299" s="76" t="s">
        <v>67</v>
      </c>
      <c r="F299" s="76" t="s">
        <v>1065</v>
      </c>
      <c r="G299" s="76" t="s">
        <v>23</v>
      </c>
      <c r="H299" s="77">
        <v>5.2</v>
      </c>
      <c r="I299" s="76" t="s">
        <v>1079</v>
      </c>
      <c r="J299" s="76" t="s">
        <v>32</v>
      </c>
      <c r="K299" s="76" t="s">
        <v>59</v>
      </c>
      <c r="L299" s="29">
        <v>12</v>
      </c>
      <c r="M299" s="78">
        <f>H299*10000*0.25</f>
      </c>
      <c r="N299" s="78">
        <f>M299*L299</f>
      </c>
      <c r="O299" s="78">
        <f>M299*2</f>
      </c>
      <c r="P299" s="78">
        <f>M299*8*0.8</f>
      </c>
      <c r="Q299" s="78">
        <f>P299/70</f>
      </c>
      <c r="R299" s="78">
        <f>Q299*4</f>
      </c>
      <c r="S299" s="13"/>
      <c r="T299" s="13"/>
      <c r="U299" s="13"/>
      <c r="V299" s="18"/>
      <c r="W299" s="13"/>
    </row>
    <row x14ac:dyDescent="0.25" r="300" customHeight="1" ht="18.75">
      <c r="A300" s="75">
        <v>7</v>
      </c>
      <c r="B300" s="76" t="s">
        <v>1058</v>
      </c>
      <c r="C300" s="76" t="s">
        <v>1080</v>
      </c>
      <c r="D300" s="76" t="s">
        <v>1081</v>
      </c>
      <c r="E300" s="76" t="s">
        <v>1082</v>
      </c>
      <c r="F300" s="76" t="s">
        <v>22</v>
      </c>
      <c r="G300" s="76" t="s">
        <v>23</v>
      </c>
      <c r="H300" s="77">
        <v>6.9</v>
      </c>
      <c r="I300" s="76" t="s">
        <v>1083</v>
      </c>
      <c r="J300" s="76" t="s">
        <v>32</v>
      </c>
      <c r="K300" s="76" t="s">
        <v>59</v>
      </c>
      <c r="L300" s="29">
        <v>10</v>
      </c>
      <c r="M300" s="78">
        <f>H300*10000*0.25</f>
      </c>
      <c r="N300" s="78">
        <f>M300*L300</f>
      </c>
      <c r="O300" s="78">
        <f>M300*2</f>
      </c>
      <c r="P300" s="78">
        <f>M300*8*0.8</f>
      </c>
      <c r="Q300" s="78">
        <f>P300/70</f>
      </c>
      <c r="R300" s="78">
        <f>Q300*4</f>
      </c>
      <c r="S300" s="13"/>
      <c r="T300" s="13"/>
      <c r="U300" s="13"/>
      <c r="V300" s="18"/>
      <c r="W300" s="13"/>
    </row>
    <row x14ac:dyDescent="0.25" r="301" customHeight="1" ht="18.75">
      <c r="A301" s="75">
        <v>8</v>
      </c>
      <c r="B301" s="76" t="s">
        <v>1058</v>
      </c>
      <c r="C301" s="76" t="s">
        <v>1084</v>
      </c>
      <c r="D301" s="76" t="s">
        <v>1075</v>
      </c>
      <c r="E301" s="76" t="s">
        <v>67</v>
      </c>
      <c r="F301" s="76" t="s">
        <v>1085</v>
      </c>
      <c r="G301" s="76" t="s">
        <v>23</v>
      </c>
      <c r="H301" s="77">
        <v>27.4</v>
      </c>
      <c r="I301" s="76" t="s">
        <v>1086</v>
      </c>
      <c r="J301" s="76" t="s">
        <v>32</v>
      </c>
      <c r="K301" s="76" t="s">
        <v>59</v>
      </c>
      <c r="L301" s="29">
        <v>9</v>
      </c>
      <c r="M301" s="78">
        <f>H301*10000*0.25</f>
      </c>
      <c r="N301" s="78">
        <f>M301*L301</f>
      </c>
      <c r="O301" s="78">
        <f>M301*2</f>
      </c>
      <c r="P301" s="78">
        <f>M301*7*0.8</f>
      </c>
      <c r="Q301" s="78">
        <f>P301/70</f>
      </c>
      <c r="R301" s="78">
        <f>Q301*4</f>
      </c>
      <c r="S301" s="13"/>
      <c r="T301" s="13"/>
      <c r="U301" s="13"/>
      <c r="V301" s="18"/>
      <c r="W301" s="13"/>
    </row>
    <row x14ac:dyDescent="0.25" r="302" customHeight="1" ht="18.75">
      <c r="A302" s="75">
        <v>9</v>
      </c>
      <c r="B302" s="76" t="s">
        <v>1058</v>
      </c>
      <c r="C302" s="76" t="s">
        <v>1087</v>
      </c>
      <c r="D302" s="76" t="s">
        <v>1075</v>
      </c>
      <c r="E302" s="76" t="s">
        <v>21</v>
      </c>
      <c r="F302" s="76" t="s">
        <v>1088</v>
      </c>
      <c r="G302" s="76" t="s">
        <v>23</v>
      </c>
      <c r="H302" s="77">
        <v>19.6</v>
      </c>
      <c r="I302" s="76" t="s">
        <v>1089</v>
      </c>
      <c r="J302" s="76" t="s">
        <v>32</v>
      </c>
      <c r="K302" s="76" t="s">
        <v>48</v>
      </c>
      <c r="L302" s="29">
        <v>9</v>
      </c>
      <c r="M302" s="78">
        <f>H302*10000*0.25</f>
      </c>
      <c r="N302" s="78">
        <f>M302*L302</f>
      </c>
      <c r="O302" s="78">
        <f>M302*2</f>
      </c>
      <c r="P302" s="78">
        <f>M302*7*0.8</f>
      </c>
      <c r="Q302" s="78">
        <f>P302/70</f>
      </c>
      <c r="R302" s="78">
        <f>Q302*4</f>
      </c>
      <c r="S302" s="13"/>
      <c r="T302" s="13"/>
      <c r="U302" s="13"/>
      <c r="V302" s="18"/>
      <c r="W302" s="13"/>
    </row>
    <row x14ac:dyDescent="0.25" r="303" customHeight="1" ht="18.75">
      <c r="A303" s="75">
        <v>10</v>
      </c>
      <c r="B303" s="76" t="s">
        <v>1058</v>
      </c>
      <c r="C303" s="76" t="s">
        <v>1090</v>
      </c>
      <c r="D303" s="76" t="s">
        <v>1091</v>
      </c>
      <c r="E303" s="76" t="s">
        <v>56</v>
      </c>
      <c r="F303" s="76" t="s">
        <v>1069</v>
      </c>
      <c r="G303" s="76" t="s">
        <v>23</v>
      </c>
      <c r="H303" s="77">
        <v>13.3</v>
      </c>
      <c r="I303" s="76" t="s">
        <v>1092</v>
      </c>
      <c r="J303" s="76" t="s">
        <v>32</v>
      </c>
      <c r="K303" s="76" t="s">
        <v>59</v>
      </c>
      <c r="L303" s="29">
        <v>8</v>
      </c>
      <c r="M303" s="78">
        <f>H303*10000*0.25</f>
      </c>
      <c r="N303" s="78">
        <f>M303*L303</f>
      </c>
      <c r="O303" s="78">
        <f>M303*2</f>
      </c>
      <c r="P303" s="78">
        <f>M303*6*0.8</f>
      </c>
      <c r="Q303" s="78">
        <f>P303/70</f>
      </c>
      <c r="R303" s="78">
        <f>Q303*4</f>
      </c>
      <c r="S303" s="13"/>
      <c r="T303" s="13"/>
      <c r="U303" s="13"/>
      <c r="V303" s="18"/>
      <c r="W303" s="13"/>
    </row>
    <row x14ac:dyDescent="0.25" r="304" customHeight="1" ht="18.75">
      <c r="A304" s="75">
        <v>11</v>
      </c>
      <c r="B304" s="76" t="s">
        <v>1058</v>
      </c>
      <c r="C304" s="76" t="s">
        <v>1093</v>
      </c>
      <c r="D304" s="76" t="s">
        <v>1094</v>
      </c>
      <c r="E304" s="76" t="s">
        <v>56</v>
      </c>
      <c r="F304" s="76" t="s">
        <v>1069</v>
      </c>
      <c r="G304" s="76" t="s">
        <v>23</v>
      </c>
      <c r="H304" s="75">
        <v>4</v>
      </c>
      <c r="I304" s="76" t="s">
        <v>1095</v>
      </c>
      <c r="J304" s="76" t="s">
        <v>32</v>
      </c>
      <c r="K304" s="76" t="s">
        <v>59</v>
      </c>
      <c r="L304" s="29">
        <v>9</v>
      </c>
      <c r="M304" s="78">
        <f>H304*10000*0.25</f>
      </c>
      <c r="N304" s="78">
        <f>M304*L304</f>
      </c>
      <c r="O304" s="78">
        <f>M304*2</f>
      </c>
      <c r="P304" s="78">
        <f>M304*7*0.8</f>
      </c>
      <c r="Q304" s="78">
        <f>P304/70</f>
      </c>
      <c r="R304" s="78">
        <f>Q304*4</f>
      </c>
      <c r="S304" s="13"/>
      <c r="T304" s="13"/>
      <c r="U304" s="13"/>
      <c r="V304" s="18"/>
      <c r="W304" s="13"/>
    </row>
    <row x14ac:dyDescent="0.25" r="305" customHeight="1" ht="18.75">
      <c r="A305" s="75">
        <v>12</v>
      </c>
      <c r="B305" s="76" t="s">
        <v>1058</v>
      </c>
      <c r="C305" s="76" t="s">
        <v>1096</v>
      </c>
      <c r="D305" s="76" t="s">
        <v>1097</v>
      </c>
      <c r="E305" s="76" t="s">
        <v>67</v>
      </c>
      <c r="F305" s="76" t="s">
        <v>1072</v>
      </c>
      <c r="G305" s="76" t="s">
        <v>23</v>
      </c>
      <c r="H305" s="77">
        <v>24.9</v>
      </c>
      <c r="I305" s="76" t="s">
        <v>1098</v>
      </c>
      <c r="J305" s="76" t="s">
        <v>32</v>
      </c>
      <c r="K305" s="76" t="s">
        <v>59</v>
      </c>
      <c r="L305" s="29">
        <v>8</v>
      </c>
      <c r="M305" s="78">
        <f>H305*10000*0.25</f>
      </c>
      <c r="N305" s="78">
        <f>M305*L305</f>
      </c>
      <c r="O305" s="78">
        <f>M305*2</f>
      </c>
      <c r="P305" s="78">
        <f>M305*6*0.8</f>
      </c>
      <c r="Q305" s="78">
        <f>P305/70</f>
      </c>
      <c r="R305" s="78">
        <f>Q305*4</f>
      </c>
      <c r="S305" s="13"/>
      <c r="T305" s="13"/>
      <c r="U305" s="13"/>
      <c r="V305" s="18"/>
      <c r="W305" s="13"/>
    </row>
    <row x14ac:dyDescent="0.25" r="306" customHeight="1" ht="18.75">
      <c r="A306" s="75">
        <v>13</v>
      </c>
      <c r="B306" s="76" t="s">
        <v>1058</v>
      </c>
      <c r="C306" s="76" t="s">
        <v>1099</v>
      </c>
      <c r="D306" s="76" t="s">
        <v>1097</v>
      </c>
      <c r="E306" s="76" t="s">
        <v>56</v>
      </c>
      <c r="F306" s="76" t="s">
        <v>1100</v>
      </c>
      <c r="G306" s="76" t="s">
        <v>23</v>
      </c>
      <c r="H306" s="77">
        <v>2.8</v>
      </c>
      <c r="I306" s="76" t="s">
        <v>1101</v>
      </c>
      <c r="J306" s="76" t="s">
        <v>32</v>
      </c>
      <c r="K306" s="76" t="s">
        <v>59</v>
      </c>
      <c r="L306" s="29">
        <v>9</v>
      </c>
      <c r="M306" s="78">
        <f>H306*10000*0.25</f>
      </c>
      <c r="N306" s="78">
        <f>M306*L306</f>
      </c>
      <c r="O306" s="78">
        <f>M306*1</f>
      </c>
      <c r="P306" s="78">
        <f>M306*8*0.8</f>
      </c>
      <c r="Q306" s="78">
        <f>P306/70</f>
      </c>
      <c r="R306" s="78">
        <f>Q306*4</f>
      </c>
      <c r="S306" s="13"/>
      <c r="T306" s="13"/>
      <c r="U306" s="13"/>
      <c r="V306" s="18"/>
      <c r="W306" s="13"/>
    </row>
    <row x14ac:dyDescent="0.25" r="307" customHeight="1" ht="18.75">
      <c r="A307" s="75">
        <v>14</v>
      </c>
      <c r="B307" s="76" t="s">
        <v>1058</v>
      </c>
      <c r="C307" s="76" t="s">
        <v>1102</v>
      </c>
      <c r="D307" s="76" t="s">
        <v>1075</v>
      </c>
      <c r="E307" s="76" t="s">
        <v>35</v>
      </c>
      <c r="F307" s="76" t="s">
        <v>1069</v>
      </c>
      <c r="G307" s="76" t="s">
        <v>23</v>
      </c>
      <c r="H307" s="77">
        <v>3.4</v>
      </c>
      <c r="I307" s="76" t="s">
        <v>1103</v>
      </c>
      <c r="J307" s="76" t="s">
        <v>32</v>
      </c>
      <c r="K307" s="76" t="s">
        <v>48</v>
      </c>
      <c r="L307" s="29">
        <v>10</v>
      </c>
      <c r="M307" s="78">
        <f>H307*10000*0.25</f>
      </c>
      <c r="N307" s="78">
        <f>M307*L307</f>
      </c>
      <c r="O307" s="78">
        <f>M307*2</f>
      </c>
      <c r="P307" s="78">
        <f>M307*8*0.8</f>
      </c>
      <c r="Q307" s="78">
        <f>P307/70</f>
      </c>
      <c r="R307" s="78">
        <f>Q307*4</f>
      </c>
      <c r="S307" s="13"/>
      <c r="T307" s="13"/>
      <c r="U307" s="13"/>
      <c r="V307" s="18"/>
      <c r="W307" s="13"/>
    </row>
    <row x14ac:dyDescent="0.25" r="308" customHeight="1" ht="18.75">
      <c r="A308" s="75">
        <v>15</v>
      </c>
      <c r="B308" s="76" t="s">
        <v>1058</v>
      </c>
      <c r="C308" s="76" t="s">
        <v>1104</v>
      </c>
      <c r="D308" s="76" t="s">
        <v>1105</v>
      </c>
      <c r="E308" s="76" t="s">
        <v>1000</v>
      </c>
      <c r="F308" s="76" t="s">
        <v>1106</v>
      </c>
      <c r="G308" s="76" t="s">
        <v>23</v>
      </c>
      <c r="H308" s="77">
        <v>14.4</v>
      </c>
      <c r="I308" s="76" t="s">
        <v>1107</v>
      </c>
      <c r="J308" s="76" t="s">
        <v>32</v>
      </c>
      <c r="K308" s="76" t="s">
        <v>48</v>
      </c>
      <c r="L308" s="29">
        <v>3</v>
      </c>
      <c r="M308" s="78">
        <f>H308*10000*0.25</f>
      </c>
      <c r="N308" s="78">
        <f>M308*L308</f>
      </c>
      <c r="O308" s="78">
        <f>M308*1</f>
      </c>
      <c r="P308" s="78">
        <f>M308*2*0.8</f>
      </c>
      <c r="Q308" s="78">
        <f>P308/70</f>
      </c>
      <c r="R308" s="78">
        <f>Q308*4</f>
      </c>
      <c r="S308" s="13"/>
      <c r="T308" s="13"/>
      <c r="U308" s="13"/>
      <c r="V308" s="18"/>
      <c r="W308" s="13"/>
    </row>
    <row x14ac:dyDescent="0.25" r="309" customHeight="1" ht="18.75">
      <c r="A309" s="75">
        <v>16</v>
      </c>
      <c r="B309" s="76" t="s">
        <v>1058</v>
      </c>
      <c r="C309" s="76" t="s">
        <v>1108</v>
      </c>
      <c r="D309" s="76" t="s">
        <v>1078</v>
      </c>
      <c r="E309" s="76" t="s">
        <v>35</v>
      </c>
      <c r="F309" s="76" t="s">
        <v>1109</v>
      </c>
      <c r="G309" s="76" t="s">
        <v>30</v>
      </c>
      <c r="H309" s="77">
        <v>0.4</v>
      </c>
      <c r="I309" s="76" t="s">
        <v>1110</v>
      </c>
      <c r="J309" s="76" t="s">
        <v>111</v>
      </c>
      <c r="K309" s="76" t="s">
        <v>48</v>
      </c>
      <c r="L309" s="29">
        <v>10</v>
      </c>
      <c r="M309" s="78">
        <f>H309*10000*0.25</f>
      </c>
      <c r="N309" s="78">
        <f>M309*L309</f>
      </c>
      <c r="O309" s="78">
        <f>M309*L309</f>
      </c>
      <c r="P309" s="78">
        <v>0</v>
      </c>
      <c r="Q309" s="78">
        <f>P309/70</f>
      </c>
      <c r="R309" s="78">
        <f>Q309*4</f>
      </c>
      <c r="S309" s="13"/>
      <c r="T309" s="13"/>
      <c r="U309" s="13"/>
      <c r="V309" s="18"/>
      <c r="W309" s="13"/>
    </row>
    <row x14ac:dyDescent="0.25" r="310" customHeight="1" ht="18.75">
      <c r="A310" s="75">
        <v>17</v>
      </c>
      <c r="B310" s="76" t="s">
        <v>1058</v>
      </c>
      <c r="C310" s="76" t="s">
        <v>1111</v>
      </c>
      <c r="D310" s="76" t="s">
        <v>1112</v>
      </c>
      <c r="E310" s="76" t="s">
        <v>559</v>
      </c>
      <c r="F310" s="76" t="s">
        <v>1113</v>
      </c>
      <c r="G310" s="76" t="s">
        <v>104</v>
      </c>
      <c r="H310" s="77">
        <v>0.05</v>
      </c>
      <c r="I310" s="76" t="s">
        <v>1114</v>
      </c>
      <c r="J310" s="76" t="s">
        <v>111</v>
      </c>
      <c r="K310" s="76" t="s">
        <v>48</v>
      </c>
      <c r="L310" s="29">
        <v>5</v>
      </c>
      <c r="M310" s="78">
        <f>H310*10000</f>
      </c>
      <c r="N310" s="78">
        <f>M310*L310</f>
      </c>
      <c r="O310" s="78">
        <f>M310*L310</f>
      </c>
      <c r="P310" s="78">
        <v>0</v>
      </c>
      <c r="Q310" s="78">
        <f>P310/70</f>
      </c>
      <c r="R310" s="78">
        <f>Q310*4</f>
      </c>
      <c r="S310" s="13"/>
      <c r="T310" s="13"/>
      <c r="U310" s="13"/>
      <c r="V310" s="18"/>
      <c r="W310" s="13"/>
    </row>
    <row x14ac:dyDescent="0.25" r="311" customHeight="1" ht="18.75">
      <c r="A311" s="75">
        <v>18</v>
      </c>
      <c r="B311" s="76" t="s">
        <v>1058</v>
      </c>
      <c r="C311" s="76" t="s">
        <v>1115</v>
      </c>
      <c r="D311" s="76" t="s">
        <v>1116</v>
      </c>
      <c r="E311" s="76" t="s">
        <v>559</v>
      </c>
      <c r="F311" s="76" t="s">
        <v>1113</v>
      </c>
      <c r="G311" s="76" t="s">
        <v>104</v>
      </c>
      <c r="H311" s="77">
        <v>0.05</v>
      </c>
      <c r="I311" s="76" t="s">
        <v>1117</v>
      </c>
      <c r="J311" s="76" t="s">
        <v>111</v>
      </c>
      <c r="K311" s="76" t="s">
        <v>48</v>
      </c>
      <c r="L311" s="29">
        <v>5</v>
      </c>
      <c r="M311" s="78">
        <f>H311*10000</f>
      </c>
      <c r="N311" s="78">
        <f>M311*L311</f>
      </c>
      <c r="O311" s="78">
        <f>M311*L311</f>
      </c>
      <c r="P311" s="78">
        <v>0</v>
      </c>
      <c r="Q311" s="78">
        <f>P311/70</f>
      </c>
      <c r="R311" s="78">
        <f>Q311*4</f>
      </c>
      <c r="S311" s="13"/>
      <c r="T311" s="13"/>
      <c r="U311" s="13"/>
      <c r="V311" s="18"/>
      <c r="W311" s="13"/>
    </row>
    <row x14ac:dyDescent="0.25" r="312" customHeight="1" ht="18.75">
      <c r="A312" s="75">
        <v>19</v>
      </c>
      <c r="B312" s="76" t="s">
        <v>1058</v>
      </c>
      <c r="C312" s="76" t="s">
        <v>1118</v>
      </c>
      <c r="D312" s="76" t="s">
        <v>1078</v>
      </c>
      <c r="E312" s="76" t="s">
        <v>56</v>
      </c>
      <c r="F312" s="76" t="s">
        <v>1119</v>
      </c>
      <c r="G312" s="76" t="s">
        <v>23</v>
      </c>
      <c r="H312" s="77">
        <v>5.1</v>
      </c>
      <c r="I312" s="76" t="s">
        <v>1120</v>
      </c>
      <c r="J312" s="76" t="s">
        <v>32</v>
      </c>
      <c r="K312" s="76" t="s">
        <v>59</v>
      </c>
      <c r="L312" s="29">
        <v>10</v>
      </c>
      <c r="M312" s="78">
        <f>H312*10000*0.25</f>
      </c>
      <c r="N312" s="78">
        <f>M312*L312</f>
      </c>
      <c r="O312" s="78">
        <f>M312*2</f>
      </c>
      <c r="P312" s="78">
        <f>M312*8*0.8</f>
      </c>
      <c r="Q312" s="78">
        <f>P312/70</f>
      </c>
      <c r="R312" s="78">
        <f>Q312*4</f>
      </c>
      <c r="S312" s="13"/>
      <c r="T312" s="13"/>
      <c r="U312" s="13"/>
      <c r="V312" s="18"/>
      <c r="W312" s="13"/>
    </row>
    <row x14ac:dyDescent="0.25" r="313" customHeight="1" ht="18.75">
      <c r="A313" s="75">
        <v>20</v>
      </c>
      <c r="B313" s="76" t="s">
        <v>1058</v>
      </c>
      <c r="C313" s="76" t="s">
        <v>1121</v>
      </c>
      <c r="D313" s="76" t="s">
        <v>1075</v>
      </c>
      <c r="E313" s="76" t="s">
        <v>67</v>
      </c>
      <c r="F313" s="76" t="s">
        <v>1119</v>
      </c>
      <c r="G313" s="76" t="s">
        <v>23</v>
      </c>
      <c r="H313" s="77">
        <v>1.2</v>
      </c>
      <c r="I313" s="76" t="s">
        <v>1122</v>
      </c>
      <c r="J313" s="76" t="s">
        <v>32</v>
      </c>
      <c r="K313" s="76" t="s">
        <v>59</v>
      </c>
      <c r="L313" s="29">
        <v>12</v>
      </c>
      <c r="M313" s="78">
        <f>H313*10000*0.25</f>
      </c>
      <c r="N313" s="78">
        <f>M313*L313</f>
      </c>
      <c r="O313" s="78">
        <f>M313*2</f>
      </c>
      <c r="P313" s="78">
        <f>M313*10*0.8</f>
      </c>
      <c r="Q313" s="78">
        <f>P313/70</f>
      </c>
      <c r="R313" s="78">
        <f>Q313*4</f>
      </c>
      <c r="S313" s="13"/>
      <c r="T313" s="13"/>
      <c r="U313" s="13"/>
      <c r="V313" s="18"/>
      <c r="W313" s="13"/>
    </row>
    <row x14ac:dyDescent="0.25" r="314" customHeight="1" ht="18.75">
      <c r="A314" s="75">
        <v>21</v>
      </c>
      <c r="B314" s="76" t="s">
        <v>1058</v>
      </c>
      <c r="C314" s="76" t="s">
        <v>1123</v>
      </c>
      <c r="D314" s="76" t="s">
        <v>1116</v>
      </c>
      <c r="E314" s="76" t="s">
        <v>1000</v>
      </c>
      <c r="F314" s="76" t="s">
        <v>1124</v>
      </c>
      <c r="G314" s="76" t="s">
        <v>147</v>
      </c>
      <c r="H314" s="77">
        <v>2.5</v>
      </c>
      <c r="I314" s="76" t="s">
        <v>1125</v>
      </c>
      <c r="J314" s="76" t="s">
        <v>111</v>
      </c>
      <c r="K314" s="76" t="s">
        <v>48</v>
      </c>
      <c r="L314" s="29">
        <v>5</v>
      </c>
      <c r="M314" s="78">
        <f>H314*10000*0.25</f>
      </c>
      <c r="N314" s="78">
        <f>M314*L314</f>
      </c>
      <c r="O314" s="78">
        <f>M314*L314</f>
      </c>
      <c r="P314" s="78">
        <v>0</v>
      </c>
      <c r="Q314" s="78">
        <f>P314/70</f>
      </c>
      <c r="R314" s="78">
        <f>Q314*4</f>
      </c>
      <c r="S314" s="13"/>
      <c r="T314" s="13"/>
      <c r="U314" s="13"/>
      <c r="V314" s="18"/>
      <c r="W314" s="13"/>
    </row>
    <row x14ac:dyDescent="0.25" r="315" customHeight="1" ht="18.75">
      <c r="A315" s="75">
        <v>22</v>
      </c>
      <c r="B315" s="76" t="s">
        <v>1058</v>
      </c>
      <c r="C315" s="76" t="s">
        <v>1126</v>
      </c>
      <c r="D315" s="76" t="s">
        <v>1112</v>
      </c>
      <c r="E315" s="76" t="s">
        <v>559</v>
      </c>
      <c r="F315" s="76" t="s">
        <v>1127</v>
      </c>
      <c r="G315" s="76" t="s">
        <v>30</v>
      </c>
      <c r="H315" s="77">
        <v>18.3</v>
      </c>
      <c r="I315" s="76" t="s">
        <v>1128</v>
      </c>
      <c r="J315" s="76" t="s">
        <v>111</v>
      </c>
      <c r="K315" s="76" t="s">
        <v>48</v>
      </c>
      <c r="L315" s="29">
        <v>5</v>
      </c>
      <c r="M315" s="78">
        <f>H315*10000*0.25</f>
      </c>
      <c r="N315" s="78">
        <f>M315*L315</f>
      </c>
      <c r="O315" s="78">
        <f>M315*L315</f>
      </c>
      <c r="P315" s="78">
        <v>0</v>
      </c>
      <c r="Q315" s="78">
        <f>P315/70</f>
      </c>
      <c r="R315" s="78">
        <f>Q315*4</f>
      </c>
      <c r="S315" s="13"/>
      <c r="T315" s="13"/>
      <c r="U315" s="13"/>
      <c r="V315" s="18"/>
      <c r="W315" s="13"/>
    </row>
    <row x14ac:dyDescent="0.25" r="316" customHeight="1" ht="18.75">
      <c r="A316" s="75">
        <v>23</v>
      </c>
      <c r="B316" s="76" t="s">
        <v>1058</v>
      </c>
      <c r="C316" s="76" t="s">
        <v>1129</v>
      </c>
      <c r="D316" s="76" t="s">
        <v>1112</v>
      </c>
      <c r="E316" s="76" t="s">
        <v>725</v>
      </c>
      <c r="F316" s="76" t="s">
        <v>1069</v>
      </c>
      <c r="G316" s="76" t="s">
        <v>23</v>
      </c>
      <c r="H316" s="77">
        <v>5.4</v>
      </c>
      <c r="I316" s="76" t="s">
        <v>1130</v>
      </c>
      <c r="J316" s="76" t="s">
        <v>32</v>
      </c>
      <c r="K316" s="76" t="s">
        <v>48</v>
      </c>
      <c r="L316" s="29">
        <v>8</v>
      </c>
      <c r="M316" s="78">
        <f>H316*10000*0.25</f>
      </c>
      <c r="N316" s="78">
        <f>M316*L316</f>
      </c>
      <c r="O316" s="78">
        <f>M316*2</f>
      </c>
      <c r="P316" s="78">
        <f>M316*6*0.8</f>
      </c>
      <c r="Q316" s="78">
        <f>P316/70</f>
      </c>
      <c r="R316" s="78">
        <f>Q316*4</f>
      </c>
      <c r="S316" s="13"/>
      <c r="T316" s="13"/>
      <c r="U316" s="13"/>
      <c r="V316" s="18"/>
      <c r="W316" s="13"/>
    </row>
    <row x14ac:dyDescent="0.25" r="317" customHeight="1" ht="18.75">
      <c r="A317" s="75">
        <v>24</v>
      </c>
      <c r="B317" s="76" t="s">
        <v>1058</v>
      </c>
      <c r="C317" s="76" t="s">
        <v>1131</v>
      </c>
      <c r="D317" s="76" t="s">
        <v>1112</v>
      </c>
      <c r="E317" s="76" t="s">
        <v>559</v>
      </c>
      <c r="F317" s="76" t="s">
        <v>1113</v>
      </c>
      <c r="G317" s="76" t="s">
        <v>104</v>
      </c>
      <c r="H317" s="77">
        <v>0.05</v>
      </c>
      <c r="I317" s="76" t="s">
        <v>1132</v>
      </c>
      <c r="J317" s="76" t="s">
        <v>111</v>
      </c>
      <c r="K317" s="76" t="s">
        <v>48</v>
      </c>
      <c r="L317" s="29">
        <v>5</v>
      </c>
      <c r="M317" s="78">
        <f>H317*10000</f>
      </c>
      <c r="N317" s="78">
        <f>M317*L317</f>
      </c>
      <c r="O317" s="78">
        <f>M317*L317</f>
      </c>
      <c r="P317" s="78">
        <v>0</v>
      </c>
      <c r="Q317" s="78">
        <f>P317/70</f>
      </c>
      <c r="R317" s="78">
        <f>Q317*4</f>
      </c>
      <c r="S317" s="13"/>
      <c r="T317" s="13"/>
      <c r="U317" s="13"/>
      <c r="V317" s="18"/>
      <c r="W317" s="13"/>
    </row>
    <row x14ac:dyDescent="0.25" r="318" customHeight="1" ht="18.75">
      <c r="A318" s="75">
        <v>25</v>
      </c>
      <c r="B318" s="76" t="s">
        <v>1058</v>
      </c>
      <c r="C318" s="76" t="s">
        <v>1133</v>
      </c>
      <c r="D318" s="76" t="s">
        <v>1116</v>
      </c>
      <c r="E318" s="76" t="s">
        <v>1000</v>
      </c>
      <c r="F318" s="76" t="s">
        <v>1134</v>
      </c>
      <c r="G318" s="76" t="s">
        <v>147</v>
      </c>
      <c r="H318" s="77">
        <v>0.7</v>
      </c>
      <c r="I318" s="76" t="s">
        <v>1135</v>
      </c>
      <c r="J318" s="76" t="s">
        <v>111</v>
      </c>
      <c r="K318" s="76" t="s">
        <v>48</v>
      </c>
      <c r="L318" s="29">
        <v>5</v>
      </c>
      <c r="M318" s="78">
        <f>H318*10000*0.25</f>
      </c>
      <c r="N318" s="78">
        <f>M318*L318</f>
      </c>
      <c r="O318" s="78">
        <f>M318*L318</f>
      </c>
      <c r="P318" s="78">
        <v>0</v>
      </c>
      <c r="Q318" s="78">
        <f>P318/70</f>
      </c>
      <c r="R318" s="78">
        <f>Q318*4</f>
      </c>
      <c r="S318" s="13"/>
      <c r="T318" s="13"/>
      <c r="U318" s="13"/>
      <c r="V318" s="18"/>
      <c r="W318" s="13"/>
    </row>
    <row x14ac:dyDescent="0.25" r="319" customHeight="1" ht="18.75">
      <c r="A319" s="75">
        <v>26</v>
      </c>
      <c r="B319" s="76" t="s">
        <v>1058</v>
      </c>
      <c r="C319" s="76" t="s">
        <v>1136</v>
      </c>
      <c r="D319" s="76" t="s">
        <v>1116</v>
      </c>
      <c r="E319" s="76" t="s">
        <v>559</v>
      </c>
      <c r="F319" s="76" t="s">
        <v>1137</v>
      </c>
      <c r="G319" s="76" t="s">
        <v>30</v>
      </c>
      <c r="H319" s="77">
        <v>0.4</v>
      </c>
      <c r="I319" s="76" t="s">
        <v>1138</v>
      </c>
      <c r="J319" s="76" t="s">
        <v>111</v>
      </c>
      <c r="K319" s="76" t="s">
        <v>26</v>
      </c>
      <c r="L319" s="29">
        <v>5</v>
      </c>
      <c r="M319" s="78">
        <f>H319*10000*0.25</f>
      </c>
      <c r="N319" s="78">
        <f>M319*L319</f>
      </c>
      <c r="O319" s="78">
        <f>M319*L319</f>
      </c>
      <c r="P319" s="78">
        <v>0</v>
      </c>
      <c r="Q319" s="78">
        <f>P319/70</f>
      </c>
      <c r="R319" s="78">
        <f>Q319*4</f>
      </c>
      <c r="S319" s="13"/>
      <c r="T319" s="13"/>
      <c r="U319" s="13"/>
      <c r="V319" s="18"/>
      <c r="W319" s="13"/>
    </row>
    <row x14ac:dyDescent="0.25" r="320" customHeight="1" ht="18.75">
      <c r="A320" s="75">
        <v>27</v>
      </c>
      <c r="B320" s="76" t="s">
        <v>1058</v>
      </c>
      <c r="C320" s="76" t="s">
        <v>1139</v>
      </c>
      <c r="D320" s="76" t="s">
        <v>1097</v>
      </c>
      <c r="E320" s="76" t="s">
        <v>56</v>
      </c>
      <c r="F320" s="76" t="s">
        <v>1085</v>
      </c>
      <c r="G320" s="76" t="s">
        <v>23</v>
      </c>
      <c r="H320" s="75">
        <v>4</v>
      </c>
      <c r="I320" s="76" t="s">
        <v>1140</v>
      </c>
      <c r="J320" s="76" t="s">
        <v>32</v>
      </c>
      <c r="K320" s="76" t="s">
        <v>59</v>
      </c>
      <c r="L320" s="29">
        <v>10</v>
      </c>
      <c r="M320" s="78">
        <f>H320*10000*0.25</f>
      </c>
      <c r="N320" s="78">
        <f>M320*L320</f>
      </c>
      <c r="O320" s="78">
        <f>M320*2</f>
      </c>
      <c r="P320" s="78">
        <f>M320*8*0.8</f>
      </c>
      <c r="Q320" s="78">
        <f>P320/70</f>
      </c>
      <c r="R320" s="78">
        <f>Q320*4</f>
      </c>
      <c r="S320" s="13"/>
      <c r="T320" s="13"/>
      <c r="U320" s="13"/>
      <c r="V320" s="18"/>
      <c r="W320" s="13"/>
    </row>
    <row x14ac:dyDescent="0.25" r="321" customHeight="1" ht="18.75">
      <c r="A321" s="75">
        <v>28</v>
      </c>
      <c r="B321" s="76" t="s">
        <v>1058</v>
      </c>
      <c r="C321" s="76" t="s">
        <v>1139</v>
      </c>
      <c r="D321" s="76" t="s">
        <v>1097</v>
      </c>
      <c r="E321" s="76" t="s">
        <v>56</v>
      </c>
      <c r="F321" s="76" t="s">
        <v>1085</v>
      </c>
      <c r="G321" s="76" t="s">
        <v>23</v>
      </c>
      <c r="H321" s="77">
        <v>2.5</v>
      </c>
      <c r="I321" s="76" t="s">
        <v>1141</v>
      </c>
      <c r="J321" s="76" t="s">
        <v>32</v>
      </c>
      <c r="K321" s="76" t="s">
        <v>59</v>
      </c>
      <c r="L321" s="29">
        <v>10</v>
      </c>
      <c r="M321" s="78">
        <f>H321*10000*0.25</f>
      </c>
      <c r="N321" s="78">
        <f>M321*L321</f>
      </c>
      <c r="O321" s="78">
        <f>M321*2</f>
      </c>
      <c r="P321" s="78">
        <f>M321*8*0.8</f>
      </c>
      <c r="Q321" s="78">
        <f>P321/70</f>
      </c>
      <c r="R321" s="78">
        <f>Q321*4</f>
      </c>
      <c r="S321" s="13"/>
      <c r="T321" s="13"/>
      <c r="U321" s="13"/>
      <c r="V321" s="18"/>
      <c r="W321" s="13"/>
    </row>
    <row x14ac:dyDescent="0.25" r="322" customHeight="1" ht="18.75">
      <c r="A322" s="75">
        <v>29</v>
      </c>
      <c r="B322" s="76" t="s">
        <v>1058</v>
      </c>
      <c r="C322" s="76" t="s">
        <v>1142</v>
      </c>
      <c r="D322" s="76" t="s">
        <v>1143</v>
      </c>
      <c r="E322" s="76" t="s">
        <v>56</v>
      </c>
      <c r="F322" s="76" t="s">
        <v>1085</v>
      </c>
      <c r="G322" s="76" t="s">
        <v>23</v>
      </c>
      <c r="H322" s="77">
        <v>1.6</v>
      </c>
      <c r="I322" s="76" t="s">
        <v>1144</v>
      </c>
      <c r="J322" s="76" t="s">
        <v>32</v>
      </c>
      <c r="K322" s="76" t="s">
        <v>59</v>
      </c>
      <c r="L322" s="29">
        <v>10</v>
      </c>
      <c r="M322" s="78">
        <f>H322*10000*0.25</f>
      </c>
      <c r="N322" s="78">
        <f>M322*L322</f>
      </c>
      <c r="O322" s="78">
        <f>M322*2</f>
      </c>
      <c r="P322" s="78">
        <f>M322*8*0.8</f>
      </c>
      <c r="Q322" s="78">
        <f>P322/70</f>
      </c>
      <c r="R322" s="78">
        <f>Q322*4</f>
      </c>
      <c r="S322" s="13"/>
      <c r="T322" s="13"/>
      <c r="U322" s="13"/>
      <c r="V322" s="18"/>
      <c r="W322" s="13"/>
    </row>
    <row x14ac:dyDescent="0.25" r="323" customHeight="1" ht="18.75">
      <c r="A323" s="75">
        <v>30</v>
      </c>
      <c r="B323" s="76" t="s">
        <v>1058</v>
      </c>
      <c r="C323" s="76" t="s">
        <v>1145</v>
      </c>
      <c r="D323" s="76" t="s">
        <v>1116</v>
      </c>
      <c r="E323" s="76" t="s">
        <v>1000</v>
      </c>
      <c r="F323" s="76" t="s">
        <v>1137</v>
      </c>
      <c r="G323" s="76" t="s">
        <v>30</v>
      </c>
      <c r="H323" s="77">
        <v>0.2</v>
      </c>
      <c r="I323" s="76" t="s">
        <v>1146</v>
      </c>
      <c r="J323" s="76" t="s">
        <v>111</v>
      </c>
      <c r="K323" s="76" t="s">
        <v>48</v>
      </c>
      <c r="L323" s="29">
        <v>5</v>
      </c>
      <c r="M323" s="78">
        <f>H323*10000*0.25</f>
      </c>
      <c r="N323" s="78">
        <f>M323*L323</f>
      </c>
      <c r="O323" s="78">
        <f>M323*L323</f>
      </c>
      <c r="P323" s="78">
        <v>0</v>
      </c>
      <c r="Q323" s="78">
        <f>P323/70</f>
      </c>
      <c r="R323" s="78">
        <f>Q323*4</f>
      </c>
      <c r="S323" s="13"/>
      <c r="T323" s="13"/>
      <c r="U323" s="13"/>
      <c r="V323" s="18"/>
      <c r="W323" s="13"/>
    </row>
    <row x14ac:dyDescent="0.25" r="324" customHeight="1" ht="18.75">
      <c r="A324" s="75">
        <v>31</v>
      </c>
      <c r="B324" s="76" t="s">
        <v>1058</v>
      </c>
      <c r="C324" s="76" t="s">
        <v>1145</v>
      </c>
      <c r="D324" s="76" t="s">
        <v>1147</v>
      </c>
      <c r="E324" s="76" t="s">
        <v>28</v>
      </c>
      <c r="F324" s="76" t="s">
        <v>1148</v>
      </c>
      <c r="G324" s="76" t="s">
        <v>30</v>
      </c>
      <c r="H324" s="77">
        <v>0.4</v>
      </c>
      <c r="I324" s="76" t="s">
        <v>1149</v>
      </c>
      <c r="J324" s="76" t="s">
        <v>111</v>
      </c>
      <c r="K324" s="76" t="s">
        <v>48</v>
      </c>
      <c r="L324" s="29">
        <v>3</v>
      </c>
      <c r="M324" s="78">
        <f>H324*10000*0.25</f>
      </c>
      <c r="N324" s="78">
        <f>M324*L324</f>
      </c>
      <c r="O324" s="78">
        <f>M324*L324</f>
      </c>
      <c r="P324" s="78">
        <v>0</v>
      </c>
      <c r="Q324" s="78">
        <f>P324/70</f>
      </c>
      <c r="R324" s="78">
        <f>Q324*4</f>
      </c>
      <c r="S324" s="13"/>
      <c r="T324" s="13"/>
      <c r="U324" s="13"/>
      <c r="V324" s="18"/>
      <c r="W324" s="13"/>
    </row>
    <row x14ac:dyDescent="0.25" r="325" customHeight="1" ht="18.75">
      <c r="A325" s="75">
        <v>32</v>
      </c>
      <c r="B325" s="76" t="s">
        <v>1058</v>
      </c>
      <c r="C325" s="76" t="s">
        <v>1150</v>
      </c>
      <c r="D325" s="76" t="s">
        <v>1112</v>
      </c>
      <c r="E325" s="76" t="s">
        <v>1151</v>
      </c>
      <c r="F325" s="76" t="s">
        <v>1085</v>
      </c>
      <c r="G325" s="76" t="s">
        <v>23</v>
      </c>
      <c r="H325" s="77">
        <v>0.6</v>
      </c>
      <c r="I325" s="76" t="s">
        <v>1152</v>
      </c>
      <c r="J325" s="76" t="s">
        <v>32</v>
      </c>
      <c r="K325" s="76" t="s">
        <v>48</v>
      </c>
      <c r="L325" s="29">
        <v>25</v>
      </c>
      <c r="M325" s="78">
        <f>H325*10000*0.25</f>
      </c>
      <c r="N325" s="78">
        <f>M325*L325</f>
      </c>
      <c r="O325" s="78">
        <f>M325*7</f>
      </c>
      <c r="P325" s="78">
        <f>M325*18*0.8</f>
      </c>
      <c r="Q325" s="78">
        <f>P325/70</f>
      </c>
      <c r="R325" s="78">
        <f>Q325*4</f>
      </c>
      <c r="S325" s="13"/>
      <c r="T325" s="13"/>
      <c r="U325" s="13"/>
      <c r="V325" s="18"/>
      <c r="W325" s="13"/>
    </row>
    <row x14ac:dyDescent="0.25" r="326" customHeight="1" ht="18.75">
      <c r="A326" s="75">
        <v>33</v>
      </c>
      <c r="B326" s="76" t="s">
        <v>1058</v>
      </c>
      <c r="C326" s="76" t="s">
        <v>1153</v>
      </c>
      <c r="D326" s="76" t="s">
        <v>1112</v>
      </c>
      <c r="E326" s="76" t="s">
        <v>28</v>
      </c>
      <c r="F326" s="76" t="s">
        <v>1148</v>
      </c>
      <c r="G326" s="76" t="s">
        <v>30</v>
      </c>
      <c r="H326" s="77">
        <v>0.3</v>
      </c>
      <c r="I326" s="76" t="s">
        <v>1154</v>
      </c>
      <c r="J326" s="76" t="s">
        <v>111</v>
      </c>
      <c r="K326" s="76" t="s">
        <v>48</v>
      </c>
      <c r="L326" s="29">
        <v>3</v>
      </c>
      <c r="M326" s="78">
        <f>H326*10000*0.25</f>
      </c>
      <c r="N326" s="78">
        <f>M326*L326</f>
      </c>
      <c r="O326" s="78">
        <f>M326*L326</f>
      </c>
      <c r="P326" s="78">
        <v>0</v>
      </c>
      <c r="Q326" s="78">
        <f>P326/70</f>
      </c>
      <c r="R326" s="78">
        <f>Q326*4</f>
      </c>
      <c r="S326" s="13"/>
      <c r="T326" s="13"/>
      <c r="U326" s="13"/>
      <c r="V326" s="18"/>
      <c r="W326" s="13"/>
    </row>
    <row x14ac:dyDescent="0.25" r="327" customHeight="1" ht="18.75">
      <c r="A327" s="75">
        <v>34</v>
      </c>
      <c r="B327" s="76" t="s">
        <v>1058</v>
      </c>
      <c r="C327" s="76" t="s">
        <v>1155</v>
      </c>
      <c r="D327" s="76" t="s">
        <v>1156</v>
      </c>
      <c r="E327" s="76" t="s">
        <v>56</v>
      </c>
      <c r="F327" s="76" t="s">
        <v>1069</v>
      </c>
      <c r="G327" s="76" t="s">
        <v>23</v>
      </c>
      <c r="H327" s="77">
        <v>15.8</v>
      </c>
      <c r="I327" s="76" t="s">
        <v>1157</v>
      </c>
      <c r="J327" s="76" t="s">
        <v>32</v>
      </c>
      <c r="K327" s="76" t="s">
        <v>48</v>
      </c>
      <c r="L327" s="29">
        <v>8</v>
      </c>
      <c r="M327" s="78">
        <f>H327*10000*0.25</f>
      </c>
      <c r="N327" s="78">
        <f>M327*L327</f>
      </c>
      <c r="O327" s="78">
        <f>M327*2</f>
      </c>
      <c r="P327" s="78">
        <f>M327*6*0.8</f>
      </c>
      <c r="Q327" s="78">
        <f>P327/70</f>
      </c>
      <c r="R327" s="78">
        <f>Q327*4</f>
      </c>
      <c r="S327" s="13"/>
      <c r="T327" s="13"/>
      <c r="U327" s="13"/>
      <c r="V327" s="18"/>
      <c r="W327" s="13"/>
    </row>
    <row x14ac:dyDescent="0.25" r="328" customHeight="1" ht="18.75">
      <c r="A328" s="75">
        <v>35</v>
      </c>
      <c r="B328" s="76" t="s">
        <v>1058</v>
      </c>
      <c r="C328" s="76" t="s">
        <v>1158</v>
      </c>
      <c r="D328" s="76" t="s">
        <v>1116</v>
      </c>
      <c r="E328" s="76" t="s">
        <v>725</v>
      </c>
      <c r="F328" s="76" t="s">
        <v>1069</v>
      </c>
      <c r="G328" s="76" t="s">
        <v>23</v>
      </c>
      <c r="H328" s="75">
        <v>2</v>
      </c>
      <c r="I328" s="76" t="s">
        <v>1159</v>
      </c>
      <c r="J328" s="76" t="s">
        <v>32</v>
      </c>
      <c r="K328" s="76" t="s">
        <v>48</v>
      </c>
      <c r="L328" s="29">
        <v>7</v>
      </c>
      <c r="M328" s="78">
        <f>H328*10000*0.25</f>
      </c>
      <c r="N328" s="78">
        <f>M328*L328</f>
      </c>
      <c r="O328" s="78">
        <f>M328*2</f>
      </c>
      <c r="P328" s="78">
        <f>M328*5*0.8</f>
      </c>
      <c r="Q328" s="78">
        <f>P328/70</f>
      </c>
      <c r="R328" s="78">
        <f>Q328*4</f>
      </c>
      <c r="S328" s="13"/>
      <c r="T328" s="13"/>
      <c r="U328" s="13"/>
      <c r="V328" s="18"/>
      <c r="W328" s="13"/>
    </row>
    <row x14ac:dyDescent="0.25" r="329" customHeight="1" ht="18.75">
      <c r="A329" s="75">
        <v>36</v>
      </c>
      <c r="B329" s="76" t="s">
        <v>1058</v>
      </c>
      <c r="C329" s="76" t="s">
        <v>1160</v>
      </c>
      <c r="D329" s="76" t="s">
        <v>1156</v>
      </c>
      <c r="E329" s="76" t="s">
        <v>1161</v>
      </c>
      <c r="F329" s="76" t="s">
        <v>1162</v>
      </c>
      <c r="G329" s="76" t="s">
        <v>23</v>
      </c>
      <c r="H329" s="77">
        <v>15.9</v>
      </c>
      <c r="I329" s="76" t="s">
        <v>1163</v>
      </c>
      <c r="J329" s="76" t="s">
        <v>32</v>
      </c>
      <c r="K329" s="76" t="s">
        <v>48</v>
      </c>
      <c r="L329" s="29">
        <v>12</v>
      </c>
      <c r="M329" s="78">
        <f>H329*10000*0.25</f>
      </c>
      <c r="N329" s="78">
        <f>M329*L329</f>
      </c>
      <c r="O329" s="78">
        <f>M329*2</f>
      </c>
      <c r="P329" s="78">
        <f>M329*10*0.8</f>
      </c>
      <c r="Q329" s="78">
        <f>P329/70</f>
      </c>
      <c r="R329" s="78">
        <f>Q329*4</f>
      </c>
      <c r="S329" s="13"/>
      <c r="T329" s="13"/>
      <c r="U329" s="13"/>
      <c r="V329" s="18"/>
      <c r="W329" s="13"/>
    </row>
    <row x14ac:dyDescent="0.25" r="330" customHeight="1" ht="18.75">
      <c r="A330" s="75">
        <v>37</v>
      </c>
      <c r="B330" s="76" t="s">
        <v>1058</v>
      </c>
      <c r="C330" s="76" t="s">
        <v>1164</v>
      </c>
      <c r="D330" s="76" t="s">
        <v>1112</v>
      </c>
      <c r="E330" s="76" t="s">
        <v>1165</v>
      </c>
      <c r="F330" s="76" t="s">
        <v>933</v>
      </c>
      <c r="G330" s="76" t="s">
        <v>147</v>
      </c>
      <c r="H330" s="77">
        <v>1.7</v>
      </c>
      <c r="I330" s="76" t="s">
        <v>1166</v>
      </c>
      <c r="J330" s="76" t="s">
        <v>111</v>
      </c>
      <c r="K330" s="76" t="s">
        <v>48</v>
      </c>
      <c r="L330" s="29">
        <v>4</v>
      </c>
      <c r="M330" s="78">
        <f>H330*10000*0.25</f>
      </c>
      <c r="N330" s="78">
        <f>M330*L330</f>
      </c>
      <c r="O330" s="78">
        <f>M330*L330</f>
      </c>
      <c r="P330" s="78">
        <v>0</v>
      </c>
      <c r="Q330" s="78">
        <f>P330/70</f>
      </c>
      <c r="R330" s="78">
        <f>Q330*4</f>
      </c>
      <c r="S330" s="13"/>
      <c r="T330" s="13"/>
      <c r="U330" s="13"/>
      <c r="V330" s="18"/>
      <c r="W330" s="13"/>
    </row>
    <row x14ac:dyDescent="0.25" r="331" customHeight="1" ht="18.75">
      <c r="A331" s="75">
        <v>38</v>
      </c>
      <c r="B331" s="76" t="s">
        <v>1058</v>
      </c>
      <c r="C331" s="76" t="s">
        <v>1167</v>
      </c>
      <c r="D331" s="76" t="s">
        <v>1078</v>
      </c>
      <c r="E331" s="76" t="s">
        <v>1168</v>
      </c>
      <c r="F331" s="76" t="s">
        <v>1169</v>
      </c>
      <c r="G331" s="76" t="s">
        <v>23</v>
      </c>
      <c r="H331" s="77">
        <v>5.1</v>
      </c>
      <c r="I331" s="76" t="s">
        <v>1170</v>
      </c>
      <c r="J331" s="76" t="s">
        <v>32</v>
      </c>
      <c r="K331" s="76" t="s">
        <v>59</v>
      </c>
      <c r="L331" s="29">
        <v>12</v>
      </c>
      <c r="M331" s="78">
        <f>H331*10000*0.25</f>
      </c>
      <c r="N331" s="78">
        <f>M331*L331</f>
      </c>
      <c r="O331" s="78">
        <f>M331*2</f>
      </c>
      <c r="P331" s="78">
        <f>M331*10*0.8</f>
      </c>
      <c r="Q331" s="78">
        <f>P331/70</f>
      </c>
      <c r="R331" s="78">
        <f>Q331*4</f>
      </c>
      <c r="S331" s="13"/>
      <c r="T331" s="13"/>
      <c r="U331" s="13"/>
      <c r="V331" s="18"/>
      <c r="W331" s="13"/>
    </row>
    <row x14ac:dyDescent="0.25" r="332" customHeight="1" ht="18.75">
      <c r="A332" s="75">
        <v>39</v>
      </c>
      <c r="B332" s="76" t="s">
        <v>1058</v>
      </c>
      <c r="C332" s="76" t="s">
        <v>1171</v>
      </c>
      <c r="D332" s="76" t="s">
        <v>1172</v>
      </c>
      <c r="E332" s="76" t="s">
        <v>1173</v>
      </c>
      <c r="F332" s="76" t="s">
        <v>1069</v>
      </c>
      <c r="G332" s="76" t="s">
        <v>23</v>
      </c>
      <c r="H332" s="75">
        <v>13</v>
      </c>
      <c r="I332" s="76" t="s">
        <v>1174</v>
      </c>
      <c r="J332" s="76" t="s">
        <v>32</v>
      </c>
      <c r="K332" s="76" t="s">
        <v>59</v>
      </c>
      <c r="L332" s="29">
        <v>5</v>
      </c>
      <c r="M332" s="78">
        <f>H332*10000*0.25</f>
      </c>
      <c r="N332" s="78">
        <f>M332*L332</f>
      </c>
      <c r="O332" s="78">
        <f>M332*1</f>
      </c>
      <c r="P332" s="78">
        <f>M332*4*0.8</f>
      </c>
      <c r="Q332" s="78">
        <f>P332/70</f>
      </c>
      <c r="R332" s="78">
        <f>Q332*4</f>
      </c>
      <c r="S332" s="13"/>
      <c r="T332" s="13"/>
      <c r="U332" s="13"/>
      <c r="V332" s="18"/>
      <c r="W332" s="13"/>
    </row>
    <row x14ac:dyDescent="0.25" r="333" customHeight="1" ht="18.75">
      <c r="A333" s="75">
        <v>40</v>
      </c>
      <c r="B333" s="76" t="s">
        <v>1058</v>
      </c>
      <c r="C333" s="76" t="s">
        <v>1175</v>
      </c>
      <c r="D333" s="76" t="s">
        <v>1097</v>
      </c>
      <c r="E333" s="76" t="s">
        <v>35</v>
      </c>
      <c r="F333" s="76" t="s">
        <v>1069</v>
      </c>
      <c r="G333" s="76" t="s">
        <v>23</v>
      </c>
      <c r="H333" s="77">
        <v>1.5</v>
      </c>
      <c r="I333" s="76" t="s">
        <v>1176</v>
      </c>
      <c r="J333" s="76" t="s">
        <v>25</v>
      </c>
      <c r="K333" s="76" t="s">
        <v>48</v>
      </c>
      <c r="L333" s="29">
        <v>10</v>
      </c>
      <c r="M333" s="78">
        <f>H333*10000*0.25</f>
      </c>
      <c r="N333" s="78">
        <f>M333*L333</f>
      </c>
      <c r="O333" s="78">
        <f>M333*2</f>
      </c>
      <c r="P333" s="78">
        <f>M333*8*0.8</f>
      </c>
      <c r="Q333" s="78">
        <f>P333/70</f>
      </c>
      <c r="R333" s="78">
        <f>Q333*4</f>
      </c>
      <c r="S333" s="13"/>
      <c r="T333" s="13"/>
      <c r="U333" s="13"/>
      <c r="V333" s="18"/>
      <c r="W333" s="13"/>
    </row>
    <row x14ac:dyDescent="0.25" r="334" customHeight="1" ht="18.75">
      <c r="A334" s="75">
        <v>41</v>
      </c>
      <c r="B334" s="76" t="s">
        <v>1058</v>
      </c>
      <c r="C334" s="76" t="s">
        <v>1177</v>
      </c>
      <c r="D334" s="76" t="s">
        <v>969</v>
      </c>
      <c r="E334" s="76" t="s">
        <v>1178</v>
      </c>
      <c r="F334" s="76" t="s">
        <v>1179</v>
      </c>
      <c r="G334" s="76" t="s">
        <v>23</v>
      </c>
      <c r="H334" s="75">
        <v>1</v>
      </c>
      <c r="I334" s="76" t="s">
        <v>1180</v>
      </c>
      <c r="J334" s="76" t="s">
        <v>25</v>
      </c>
      <c r="K334" s="76" t="s">
        <v>59</v>
      </c>
      <c r="L334" s="29">
        <v>18</v>
      </c>
      <c r="M334" s="78">
        <f>H334*10000*0.25</f>
      </c>
      <c r="N334" s="78">
        <f>M334*L334</f>
      </c>
      <c r="O334" s="78">
        <f>M334*5</f>
      </c>
      <c r="P334" s="78">
        <f>M334*15*0.8</f>
      </c>
      <c r="Q334" s="78">
        <f>P334/70</f>
      </c>
      <c r="R334" s="78">
        <f>Q334*4</f>
      </c>
      <c r="S334" s="13"/>
      <c r="T334" s="13"/>
      <c r="U334" s="13"/>
      <c r="V334" s="18"/>
      <c r="W334" s="13"/>
    </row>
    <row x14ac:dyDescent="0.25" r="335" customHeight="1" ht="18.75">
      <c r="A335" s="75">
        <v>42</v>
      </c>
      <c r="B335" s="76" t="s">
        <v>1058</v>
      </c>
      <c r="C335" s="76" t="s">
        <v>1181</v>
      </c>
      <c r="D335" s="76" t="s">
        <v>1116</v>
      </c>
      <c r="E335" s="76" t="s">
        <v>1182</v>
      </c>
      <c r="F335" s="76" t="s">
        <v>1179</v>
      </c>
      <c r="G335" s="76" t="s">
        <v>23</v>
      </c>
      <c r="H335" s="75">
        <v>6</v>
      </c>
      <c r="I335" s="76" t="s">
        <v>1183</v>
      </c>
      <c r="J335" s="76" t="s">
        <v>25</v>
      </c>
      <c r="K335" s="76" t="s">
        <v>48</v>
      </c>
      <c r="L335" s="29">
        <v>16</v>
      </c>
      <c r="M335" s="78">
        <f>H335*10000*0.25</f>
      </c>
      <c r="N335" s="78">
        <f>M335*L335</f>
      </c>
      <c r="O335" s="78">
        <f>M335*10</f>
      </c>
      <c r="P335" s="78">
        <f>M335*16*0.8</f>
      </c>
      <c r="Q335" s="78">
        <f>P335/70</f>
      </c>
      <c r="R335" s="78">
        <f>Q335*4</f>
      </c>
      <c r="S335" s="13"/>
      <c r="T335" s="13"/>
      <c r="U335" s="13"/>
      <c r="V335" s="18"/>
      <c r="W335" s="13"/>
    </row>
    <row x14ac:dyDescent="0.25" r="336" customHeight="1" ht="18.75">
      <c r="A336" s="75">
        <v>43</v>
      </c>
      <c r="B336" s="76" t="s">
        <v>1058</v>
      </c>
      <c r="C336" s="76" t="s">
        <v>1184</v>
      </c>
      <c r="D336" s="76" t="s">
        <v>1075</v>
      </c>
      <c r="E336" s="76" t="s">
        <v>1082</v>
      </c>
      <c r="F336" s="76" t="s">
        <v>1179</v>
      </c>
      <c r="G336" s="76" t="s">
        <v>23</v>
      </c>
      <c r="H336" s="77">
        <v>2.5</v>
      </c>
      <c r="I336" s="76" t="s">
        <v>1185</v>
      </c>
      <c r="J336" s="76" t="s">
        <v>25</v>
      </c>
      <c r="K336" s="76" t="s">
        <v>59</v>
      </c>
      <c r="L336" s="29">
        <v>12</v>
      </c>
      <c r="M336" s="78">
        <f>H336*10000*0.25</f>
      </c>
      <c r="N336" s="78">
        <f>M336*L336</f>
      </c>
      <c r="O336" s="78">
        <f>M336*2</f>
      </c>
      <c r="P336" s="78">
        <f>M336*10*0.8</f>
      </c>
      <c r="Q336" s="78">
        <f>P336/70</f>
      </c>
      <c r="R336" s="78">
        <f>Q336*4</f>
      </c>
      <c r="S336" s="13"/>
      <c r="T336" s="13"/>
      <c r="U336" s="13"/>
      <c r="V336" s="18"/>
      <c r="W336" s="13"/>
    </row>
    <row x14ac:dyDescent="0.25" r="337" customHeight="1" ht="18.75">
      <c r="A337" s="75">
        <v>44</v>
      </c>
      <c r="B337" s="76" t="s">
        <v>1058</v>
      </c>
      <c r="C337" s="76" t="s">
        <v>1186</v>
      </c>
      <c r="D337" s="76" t="s">
        <v>1187</v>
      </c>
      <c r="E337" s="76" t="s">
        <v>969</v>
      </c>
      <c r="F337" s="76" t="s">
        <v>1179</v>
      </c>
      <c r="G337" s="76" t="s">
        <v>23</v>
      </c>
      <c r="H337" s="77">
        <v>16.4</v>
      </c>
      <c r="I337" s="76" t="s">
        <v>1188</v>
      </c>
      <c r="J337" s="76" t="s">
        <v>25</v>
      </c>
      <c r="K337" s="76" t="s">
        <v>48</v>
      </c>
      <c r="L337" s="29">
        <v>12</v>
      </c>
      <c r="M337" s="78">
        <f>H337*10000*0.25</f>
      </c>
      <c r="N337" s="78">
        <f>M337*L337</f>
      </c>
      <c r="O337" s="78">
        <f>M337*2</f>
      </c>
      <c r="P337" s="78">
        <f>M337*10*0.8</f>
      </c>
      <c r="Q337" s="78">
        <f>P337/70</f>
      </c>
      <c r="R337" s="78">
        <f>Q337*4</f>
      </c>
      <c r="S337" s="13"/>
      <c r="T337" s="13"/>
      <c r="U337" s="13"/>
      <c r="V337" s="18"/>
      <c r="W337" s="13"/>
    </row>
    <row x14ac:dyDescent="0.25" r="338" customHeight="1" ht="57.75">
      <c r="A338" s="17" t="s">
        <v>1189</v>
      </c>
      <c r="B338" s="37" t="s">
        <v>1058</v>
      </c>
      <c r="C338" s="37" t="s">
        <v>1190</v>
      </c>
      <c r="D338" s="37" t="s">
        <v>1191</v>
      </c>
      <c r="E338" s="37" t="s">
        <v>21</v>
      </c>
      <c r="F338" s="37" t="s">
        <v>1192</v>
      </c>
      <c r="G338" s="37" t="s">
        <v>734</v>
      </c>
      <c r="H338" s="17">
        <v>32</v>
      </c>
      <c r="I338" s="39" t="s">
        <v>1193</v>
      </c>
      <c r="J338" s="37" t="s">
        <v>25</v>
      </c>
      <c r="K338" s="37" t="s">
        <v>380</v>
      </c>
      <c r="L338" s="29">
        <v>16</v>
      </c>
      <c r="M338" s="23">
        <f>H338*10000*0.25</f>
      </c>
      <c r="N338" s="23">
        <f>M338*L338</f>
      </c>
      <c r="O338" s="23">
        <f>M338*L338</f>
      </c>
      <c r="P338" s="79">
        <v>0</v>
      </c>
      <c r="Q338" s="79">
        <v>0</v>
      </c>
      <c r="R338" s="79">
        <v>0</v>
      </c>
      <c r="S338" s="13"/>
      <c r="T338" s="13"/>
      <c r="U338" s="13"/>
      <c r="V338" s="18"/>
      <c r="W338" s="13"/>
    </row>
    <row x14ac:dyDescent="0.25" r="339" customHeight="1" ht="18.75">
      <c r="A339" s="80">
        <v>1</v>
      </c>
      <c r="B339" s="81" t="s">
        <v>1194</v>
      </c>
      <c r="C339" s="81" t="s">
        <v>1195</v>
      </c>
      <c r="D339" s="81" t="s">
        <v>1196</v>
      </c>
      <c r="E339" s="81" t="s">
        <v>67</v>
      </c>
      <c r="F339" s="81" t="s">
        <v>1197</v>
      </c>
      <c r="G339" s="81" t="s">
        <v>23</v>
      </c>
      <c r="H339" s="82">
        <v>3.22</v>
      </c>
      <c r="I339" s="81" t="s">
        <v>1198</v>
      </c>
      <c r="J339" s="81" t="s">
        <v>32</v>
      </c>
      <c r="K339" s="81" t="s">
        <v>59</v>
      </c>
      <c r="L339" s="29">
        <v>12</v>
      </c>
      <c r="M339" s="83">
        <f>H339*10000*0.25</f>
      </c>
      <c r="N339" s="83">
        <f>M339*L339</f>
      </c>
      <c r="O339" s="83">
        <f>M339*2</f>
      </c>
      <c r="P339" s="83">
        <f>M339*10*0.8</f>
      </c>
      <c r="Q339" s="83">
        <f>P339/70</f>
      </c>
      <c r="R339" s="83">
        <f>Q339*4</f>
      </c>
      <c r="S339" s="13"/>
      <c r="T339" s="13"/>
      <c r="U339" s="13"/>
      <c r="V339" s="18"/>
      <c r="W339" s="13"/>
    </row>
    <row x14ac:dyDescent="0.25" r="340" customHeight="1" ht="18.75">
      <c r="A340" s="80">
        <v>2</v>
      </c>
      <c r="B340" s="81" t="s">
        <v>1194</v>
      </c>
      <c r="C340" s="81" t="s">
        <v>1199</v>
      </c>
      <c r="D340" s="81" t="s">
        <v>615</v>
      </c>
      <c r="E340" s="81" t="s">
        <v>67</v>
      </c>
      <c r="F340" s="81" t="s">
        <v>1197</v>
      </c>
      <c r="G340" s="81" t="s">
        <v>23</v>
      </c>
      <c r="H340" s="82">
        <v>11.3</v>
      </c>
      <c r="I340" s="81" t="s">
        <v>1200</v>
      </c>
      <c r="J340" s="81" t="s">
        <v>32</v>
      </c>
      <c r="K340" s="81" t="s">
        <v>59</v>
      </c>
      <c r="L340" s="29">
        <v>10</v>
      </c>
      <c r="M340" s="83">
        <f>H340*10000*0.25</f>
      </c>
      <c r="N340" s="83">
        <f>M340*L340</f>
      </c>
      <c r="O340" s="83">
        <f>M340*2</f>
      </c>
      <c r="P340" s="83">
        <f>M340*8*0.8</f>
      </c>
      <c r="Q340" s="83">
        <f>P340/70</f>
      </c>
      <c r="R340" s="83">
        <f>Q340*4</f>
      </c>
      <c r="S340" s="13"/>
      <c r="T340" s="13"/>
      <c r="U340" s="13"/>
      <c r="V340" s="18"/>
      <c r="W340" s="13"/>
    </row>
    <row x14ac:dyDescent="0.25" r="341" customHeight="1" ht="18.75">
      <c r="A341" s="80">
        <v>3</v>
      </c>
      <c r="B341" s="81" t="s">
        <v>1194</v>
      </c>
      <c r="C341" s="81" t="s">
        <v>1201</v>
      </c>
      <c r="D341" s="81" t="s">
        <v>615</v>
      </c>
      <c r="E341" s="81" t="s">
        <v>1173</v>
      </c>
      <c r="F341" s="81" t="s">
        <v>1197</v>
      </c>
      <c r="G341" s="81" t="s">
        <v>23</v>
      </c>
      <c r="H341" s="82">
        <v>5.88</v>
      </c>
      <c r="I341" s="81" t="s">
        <v>1202</v>
      </c>
      <c r="J341" s="81" t="s">
        <v>32</v>
      </c>
      <c r="K341" s="81" t="s">
        <v>59</v>
      </c>
      <c r="L341" s="29">
        <v>5</v>
      </c>
      <c r="M341" s="83">
        <f>H341*10000*0.25</f>
      </c>
      <c r="N341" s="83">
        <f>M341*L341</f>
      </c>
      <c r="O341" s="83">
        <f>M341*2</f>
      </c>
      <c r="P341" s="83">
        <f>M341*4*0.8</f>
      </c>
      <c r="Q341" s="83">
        <f>P341/70</f>
      </c>
      <c r="R341" s="83">
        <f>Q341*4</f>
      </c>
      <c r="S341" s="13"/>
      <c r="T341" s="13"/>
      <c r="U341" s="13"/>
      <c r="V341" s="18"/>
      <c r="W341" s="13"/>
    </row>
    <row x14ac:dyDescent="0.25" r="342" customHeight="1" ht="18.75">
      <c r="A342" s="80">
        <v>4</v>
      </c>
      <c r="B342" s="81" t="s">
        <v>1194</v>
      </c>
      <c r="C342" s="81" t="s">
        <v>1203</v>
      </c>
      <c r="D342" s="81" t="s">
        <v>615</v>
      </c>
      <c r="E342" s="81" t="s">
        <v>67</v>
      </c>
      <c r="F342" s="81" t="s">
        <v>1197</v>
      </c>
      <c r="G342" s="81" t="s">
        <v>23</v>
      </c>
      <c r="H342" s="82">
        <v>10.6</v>
      </c>
      <c r="I342" s="81" t="s">
        <v>1204</v>
      </c>
      <c r="J342" s="81" t="s">
        <v>32</v>
      </c>
      <c r="K342" s="81" t="s">
        <v>59</v>
      </c>
      <c r="L342" s="29">
        <v>10</v>
      </c>
      <c r="M342" s="83">
        <f>H342*10000*0.25</f>
      </c>
      <c r="N342" s="83">
        <f>M342*L342</f>
      </c>
      <c r="O342" s="83">
        <f>M342*2</f>
      </c>
      <c r="P342" s="83">
        <f>M342*8*0.8</f>
      </c>
      <c r="Q342" s="83">
        <f>P342/70</f>
      </c>
      <c r="R342" s="83">
        <f>Q342*4</f>
      </c>
      <c r="S342" s="13"/>
      <c r="T342" s="13"/>
      <c r="U342" s="13"/>
      <c r="V342" s="18"/>
      <c r="W342" s="13"/>
    </row>
    <row x14ac:dyDescent="0.25" r="343" customHeight="1" ht="18.75">
      <c r="A343" s="80">
        <v>5</v>
      </c>
      <c r="B343" s="81" t="s">
        <v>1194</v>
      </c>
      <c r="C343" s="81" t="s">
        <v>1205</v>
      </c>
      <c r="D343" s="81" t="s">
        <v>679</v>
      </c>
      <c r="E343" s="81" t="s">
        <v>67</v>
      </c>
      <c r="F343" s="81" t="s">
        <v>1197</v>
      </c>
      <c r="G343" s="81" t="s">
        <v>23</v>
      </c>
      <c r="H343" s="82">
        <v>0.67</v>
      </c>
      <c r="I343" s="81" t="s">
        <v>1206</v>
      </c>
      <c r="J343" s="81" t="s">
        <v>32</v>
      </c>
      <c r="K343" s="81" t="s">
        <v>59</v>
      </c>
      <c r="L343" s="29">
        <v>16</v>
      </c>
      <c r="M343" s="83">
        <f>H343*10000*0.25</f>
      </c>
      <c r="N343" s="83">
        <f>M343*L343</f>
      </c>
      <c r="O343" s="83">
        <f>M343*3</f>
      </c>
      <c r="P343" s="83">
        <f>M343*13*0.8</f>
      </c>
      <c r="Q343" s="83">
        <f>P343/70</f>
      </c>
      <c r="R343" s="83">
        <f>Q343*4</f>
      </c>
      <c r="S343" s="13"/>
      <c r="T343" s="13"/>
      <c r="U343" s="13"/>
      <c r="V343" s="18"/>
      <c r="W343" s="13"/>
    </row>
    <row x14ac:dyDescent="0.25" r="344" customHeight="1" ht="18.75">
      <c r="A344" s="80">
        <v>6</v>
      </c>
      <c r="B344" s="81" t="s">
        <v>1194</v>
      </c>
      <c r="C344" s="81" t="s">
        <v>1207</v>
      </c>
      <c r="D344" s="81" t="s">
        <v>615</v>
      </c>
      <c r="E344" s="81" t="s">
        <v>67</v>
      </c>
      <c r="F344" s="81" t="s">
        <v>1197</v>
      </c>
      <c r="G344" s="81" t="s">
        <v>23</v>
      </c>
      <c r="H344" s="82">
        <v>0.98</v>
      </c>
      <c r="I344" s="81" t="s">
        <v>1208</v>
      </c>
      <c r="J344" s="81" t="s">
        <v>32</v>
      </c>
      <c r="K344" s="81" t="s">
        <v>59</v>
      </c>
      <c r="L344" s="29">
        <v>13</v>
      </c>
      <c r="M344" s="83">
        <f>H344*10000*0.25</f>
      </c>
      <c r="N344" s="83">
        <f>M344*L344</f>
      </c>
      <c r="O344" s="83">
        <f>M344*3</f>
      </c>
      <c r="P344" s="83">
        <f>M344*10*0.8</f>
      </c>
      <c r="Q344" s="83">
        <f>P344/70</f>
      </c>
      <c r="R344" s="83">
        <f>Q344*4</f>
      </c>
      <c r="S344" s="13"/>
      <c r="T344" s="13"/>
      <c r="U344" s="13"/>
      <c r="V344" s="18"/>
      <c r="W344" s="13"/>
    </row>
    <row x14ac:dyDescent="0.25" r="345" customHeight="1" ht="18.75">
      <c r="A345" s="80">
        <v>7</v>
      </c>
      <c r="B345" s="81" t="s">
        <v>1194</v>
      </c>
      <c r="C345" s="81" t="s">
        <v>1209</v>
      </c>
      <c r="D345" s="81" t="s">
        <v>590</v>
      </c>
      <c r="E345" s="81" t="s">
        <v>67</v>
      </c>
      <c r="F345" s="81" t="s">
        <v>1197</v>
      </c>
      <c r="G345" s="81" t="s">
        <v>23</v>
      </c>
      <c r="H345" s="82">
        <v>9.6</v>
      </c>
      <c r="I345" s="81" t="s">
        <v>1210</v>
      </c>
      <c r="J345" s="81" t="s">
        <v>32</v>
      </c>
      <c r="K345" s="81" t="s">
        <v>59</v>
      </c>
      <c r="L345" s="29">
        <v>10</v>
      </c>
      <c r="M345" s="83">
        <f>H345*10000*0.25</f>
      </c>
      <c r="N345" s="83">
        <f>M345*L345</f>
      </c>
      <c r="O345" s="83">
        <f>M345*2</f>
      </c>
      <c r="P345" s="83">
        <f>M345*8*0.8</f>
      </c>
      <c r="Q345" s="83">
        <f>P345/70</f>
      </c>
      <c r="R345" s="83">
        <f>Q345*4</f>
      </c>
      <c r="S345" s="13"/>
      <c r="T345" s="13"/>
      <c r="U345" s="13"/>
      <c r="V345" s="18"/>
      <c r="W345" s="13"/>
    </row>
    <row x14ac:dyDescent="0.25" r="346" customHeight="1" ht="18.75">
      <c r="A346" s="80">
        <v>8</v>
      </c>
      <c r="B346" s="81" t="s">
        <v>1194</v>
      </c>
      <c r="C346" s="81" t="s">
        <v>1211</v>
      </c>
      <c r="D346" s="81" t="s">
        <v>590</v>
      </c>
      <c r="E346" s="81" t="s">
        <v>67</v>
      </c>
      <c r="F346" s="81" t="s">
        <v>1197</v>
      </c>
      <c r="G346" s="81" t="s">
        <v>23</v>
      </c>
      <c r="H346" s="82">
        <v>9.32</v>
      </c>
      <c r="I346" s="81" t="s">
        <v>1212</v>
      </c>
      <c r="J346" s="81" t="s">
        <v>32</v>
      </c>
      <c r="K346" s="81" t="s">
        <v>59</v>
      </c>
      <c r="L346" s="29">
        <v>10</v>
      </c>
      <c r="M346" s="83">
        <f>H346*10000*0.25</f>
      </c>
      <c r="N346" s="83">
        <f>M346*L346</f>
      </c>
      <c r="O346" s="83">
        <f>M346*2</f>
      </c>
      <c r="P346" s="83">
        <f>M346*8*0.8</f>
      </c>
      <c r="Q346" s="83">
        <f>P346/70</f>
      </c>
      <c r="R346" s="83">
        <f>Q346*4</f>
      </c>
      <c r="S346" s="13"/>
      <c r="T346" s="13"/>
      <c r="U346" s="13"/>
      <c r="V346" s="18"/>
      <c r="W346" s="13"/>
    </row>
    <row x14ac:dyDescent="0.25" r="347" customHeight="1" ht="68.25">
      <c r="A347" s="80">
        <v>9</v>
      </c>
      <c r="B347" s="81" t="s">
        <v>1194</v>
      </c>
      <c r="C347" s="81" t="s">
        <v>1213</v>
      </c>
      <c r="D347" s="81" t="s">
        <v>679</v>
      </c>
      <c r="E347" s="81" t="s">
        <v>559</v>
      </c>
      <c r="F347" s="81" t="s">
        <v>1214</v>
      </c>
      <c r="G347" s="81" t="s">
        <v>353</v>
      </c>
      <c r="H347" s="80">
        <v>305</v>
      </c>
      <c r="I347" s="81" t="s">
        <v>1215</v>
      </c>
      <c r="J347" s="81" t="s">
        <v>32</v>
      </c>
      <c r="K347" s="81" t="s">
        <v>59</v>
      </c>
      <c r="L347" s="29">
        <v>12</v>
      </c>
      <c r="M347" s="83">
        <f>H347*10000*0.25</f>
      </c>
      <c r="N347" s="83">
        <f>M347*L347</f>
      </c>
      <c r="O347" s="83">
        <f>M347*L347</f>
      </c>
      <c r="P347" s="83">
        <v>0</v>
      </c>
      <c r="Q347" s="83">
        <f>P347/70</f>
      </c>
      <c r="R347" s="83">
        <f>Q347*4</f>
      </c>
      <c r="S347" s="13"/>
      <c r="T347" s="13"/>
      <c r="U347" s="13"/>
      <c r="V347" s="18"/>
      <c r="W347" s="13"/>
    </row>
    <row x14ac:dyDescent="0.25" r="348" customHeight="1" ht="68.25">
      <c r="A348" s="80">
        <v>10</v>
      </c>
      <c r="B348" s="81" t="s">
        <v>1194</v>
      </c>
      <c r="C348" s="81" t="s">
        <v>1216</v>
      </c>
      <c r="D348" s="81" t="s">
        <v>615</v>
      </c>
      <c r="E348" s="81" t="s">
        <v>969</v>
      </c>
      <c r="F348" s="81" t="s">
        <v>1217</v>
      </c>
      <c r="G348" s="81" t="s">
        <v>23</v>
      </c>
      <c r="H348" s="80">
        <v>42</v>
      </c>
      <c r="I348" s="81" t="s">
        <v>1218</v>
      </c>
      <c r="J348" s="81" t="s">
        <v>32</v>
      </c>
      <c r="K348" s="81" t="s">
        <v>59</v>
      </c>
      <c r="L348" s="29">
        <v>12</v>
      </c>
      <c r="M348" s="83">
        <f>H348*10000*0.25</f>
      </c>
      <c r="N348" s="83">
        <f>M348*L348</f>
      </c>
      <c r="O348" s="83">
        <f>M348*2</f>
      </c>
      <c r="P348" s="83">
        <f>M348*10*0.8</f>
      </c>
      <c r="Q348" s="83">
        <f>P348/70</f>
      </c>
      <c r="R348" s="83">
        <f>Q348*4</f>
      </c>
      <c r="S348" s="13"/>
      <c r="T348" s="13"/>
      <c r="U348" s="13"/>
      <c r="V348" s="18"/>
      <c r="W348" s="13"/>
    </row>
    <row x14ac:dyDescent="0.25" r="349" customHeight="1" ht="58.5">
      <c r="A349" s="80">
        <v>11</v>
      </c>
      <c r="B349" s="81" t="s">
        <v>1194</v>
      </c>
      <c r="C349" s="81" t="s">
        <v>1219</v>
      </c>
      <c r="D349" s="81" t="s">
        <v>1220</v>
      </c>
      <c r="E349" s="81" t="s">
        <v>1221</v>
      </c>
      <c r="F349" s="81" t="s">
        <v>1222</v>
      </c>
      <c r="G349" s="81" t="s">
        <v>104</v>
      </c>
      <c r="H349" s="82">
        <v>0.05</v>
      </c>
      <c r="I349" s="81" t="s">
        <v>1223</v>
      </c>
      <c r="J349" s="81" t="s">
        <v>32</v>
      </c>
      <c r="K349" s="81" t="s">
        <v>1224</v>
      </c>
      <c r="L349" s="29">
        <v>5</v>
      </c>
      <c r="M349" s="83">
        <f>H349*10000</f>
      </c>
      <c r="N349" s="83">
        <f>M349*L349</f>
      </c>
      <c r="O349" s="83">
        <f>M349*L349</f>
      </c>
      <c r="P349" s="83">
        <v>0</v>
      </c>
      <c r="Q349" s="83">
        <f>P349/70</f>
      </c>
      <c r="R349" s="83">
        <f>Q349*4</f>
      </c>
      <c r="S349" s="13"/>
      <c r="T349" s="13"/>
      <c r="U349" s="13"/>
      <c r="V349" s="18"/>
      <c r="W349" s="13"/>
    </row>
    <row x14ac:dyDescent="0.25" r="350" customHeight="1" ht="58.5">
      <c r="A350" s="80">
        <v>12</v>
      </c>
      <c r="B350" s="81" t="s">
        <v>1194</v>
      </c>
      <c r="C350" s="81" t="s">
        <v>1225</v>
      </c>
      <c r="D350" s="81" t="s">
        <v>615</v>
      </c>
      <c r="E350" s="81" t="s">
        <v>615</v>
      </c>
      <c r="F350" s="81" t="s">
        <v>1226</v>
      </c>
      <c r="G350" s="81" t="s">
        <v>104</v>
      </c>
      <c r="H350" s="82">
        <v>0.03</v>
      </c>
      <c r="I350" s="81" t="s">
        <v>1227</v>
      </c>
      <c r="J350" s="81" t="s">
        <v>32</v>
      </c>
      <c r="K350" s="81" t="s">
        <v>1224</v>
      </c>
      <c r="L350" s="29">
        <v>5</v>
      </c>
      <c r="M350" s="83">
        <f>H350*10000</f>
      </c>
      <c r="N350" s="83">
        <f>M350*L350</f>
      </c>
      <c r="O350" s="83">
        <f>M350*L350</f>
      </c>
      <c r="P350" s="83">
        <v>0</v>
      </c>
      <c r="Q350" s="83">
        <f>P350/70</f>
      </c>
      <c r="R350" s="83">
        <f>Q350*4</f>
      </c>
      <c r="S350" s="13"/>
      <c r="T350" s="13"/>
      <c r="U350" s="13"/>
      <c r="V350" s="18"/>
      <c r="W350" s="13"/>
    </row>
    <row x14ac:dyDescent="0.25" r="351" customHeight="1" ht="58.5">
      <c r="A351" s="80">
        <v>13</v>
      </c>
      <c r="B351" s="81" t="s">
        <v>1194</v>
      </c>
      <c r="C351" s="81" t="s">
        <v>1228</v>
      </c>
      <c r="D351" s="81" t="s">
        <v>552</v>
      </c>
      <c r="E351" s="81" t="s">
        <v>1173</v>
      </c>
      <c r="F351" s="81" t="s">
        <v>1229</v>
      </c>
      <c r="G351" s="81" t="s">
        <v>104</v>
      </c>
      <c r="H351" s="82">
        <v>0.13</v>
      </c>
      <c r="I351" s="81" t="s">
        <v>1230</v>
      </c>
      <c r="J351" s="81" t="s">
        <v>32</v>
      </c>
      <c r="K351" s="81" t="s">
        <v>1224</v>
      </c>
      <c r="L351" s="29">
        <v>5</v>
      </c>
      <c r="M351" s="83">
        <f>H351*10000</f>
      </c>
      <c r="N351" s="83">
        <f>M351*L351</f>
      </c>
      <c r="O351" s="83">
        <f>M351*L351</f>
      </c>
      <c r="P351" s="83">
        <v>0</v>
      </c>
      <c r="Q351" s="83">
        <f>P351/70</f>
      </c>
      <c r="R351" s="83">
        <f>Q351*4</f>
      </c>
      <c r="S351" s="13"/>
      <c r="T351" s="13"/>
      <c r="U351" s="13"/>
      <c r="V351" s="18"/>
      <c r="W351" s="13"/>
    </row>
    <row x14ac:dyDescent="0.25" r="352" customHeight="1" ht="58.5">
      <c r="A352" s="80">
        <v>14</v>
      </c>
      <c r="B352" s="81" t="s">
        <v>1194</v>
      </c>
      <c r="C352" s="81" t="s">
        <v>1231</v>
      </c>
      <c r="D352" s="81" t="s">
        <v>1220</v>
      </c>
      <c r="E352" s="81" t="s">
        <v>1000</v>
      </c>
      <c r="F352" s="81" t="s">
        <v>1232</v>
      </c>
      <c r="G352" s="81" t="s">
        <v>104</v>
      </c>
      <c r="H352" s="82">
        <v>0.05</v>
      </c>
      <c r="I352" s="81" t="s">
        <v>1233</v>
      </c>
      <c r="J352" s="81" t="s">
        <v>32</v>
      </c>
      <c r="K352" s="81" t="s">
        <v>1224</v>
      </c>
      <c r="L352" s="29">
        <v>5</v>
      </c>
      <c r="M352" s="83">
        <f>H352*10000</f>
      </c>
      <c r="N352" s="83">
        <f>M352*L352</f>
      </c>
      <c r="O352" s="83">
        <f>M352*L352</f>
      </c>
      <c r="P352" s="83">
        <v>0</v>
      </c>
      <c r="Q352" s="83">
        <f>P352/70</f>
      </c>
      <c r="R352" s="83">
        <f>Q352*4</f>
      </c>
      <c r="S352" s="13"/>
      <c r="T352" s="13"/>
      <c r="U352" s="13"/>
      <c r="V352" s="18"/>
      <c r="W352" s="13"/>
    </row>
    <row x14ac:dyDescent="0.25" r="353" customHeight="1" ht="58.5">
      <c r="A353" s="80">
        <v>15</v>
      </c>
      <c r="B353" s="81" t="s">
        <v>1194</v>
      </c>
      <c r="C353" s="81" t="s">
        <v>1234</v>
      </c>
      <c r="D353" s="81" t="s">
        <v>1235</v>
      </c>
      <c r="E353" s="81" t="s">
        <v>1000</v>
      </c>
      <c r="F353" s="81" t="s">
        <v>1236</v>
      </c>
      <c r="G353" s="81" t="s">
        <v>104</v>
      </c>
      <c r="H353" s="82">
        <v>0.05</v>
      </c>
      <c r="I353" s="81" t="s">
        <v>1237</v>
      </c>
      <c r="J353" s="81" t="s">
        <v>32</v>
      </c>
      <c r="K353" s="81" t="s">
        <v>1224</v>
      </c>
      <c r="L353" s="29">
        <v>5</v>
      </c>
      <c r="M353" s="83">
        <f>H353*10000</f>
      </c>
      <c r="N353" s="83">
        <f>M353*L353</f>
      </c>
      <c r="O353" s="83">
        <f>M353*L353</f>
      </c>
      <c r="P353" s="83">
        <v>0</v>
      </c>
      <c r="Q353" s="83">
        <f>P353/70</f>
      </c>
      <c r="R353" s="83">
        <f>Q353*4</f>
      </c>
      <c r="S353" s="13"/>
      <c r="T353" s="13"/>
      <c r="U353" s="13"/>
      <c r="V353" s="18"/>
      <c r="W353" s="13"/>
    </row>
    <row x14ac:dyDescent="0.25" r="354" customHeight="1" ht="58.5">
      <c r="A354" s="80">
        <v>16</v>
      </c>
      <c r="B354" s="81" t="s">
        <v>1194</v>
      </c>
      <c r="C354" s="81" t="s">
        <v>1238</v>
      </c>
      <c r="D354" s="81" t="s">
        <v>552</v>
      </c>
      <c r="E354" s="81" t="s">
        <v>1000</v>
      </c>
      <c r="F354" s="81" t="s">
        <v>1239</v>
      </c>
      <c r="G354" s="81" t="s">
        <v>104</v>
      </c>
      <c r="H354" s="82">
        <v>0.04</v>
      </c>
      <c r="I354" s="81" t="s">
        <v>1240</v>
      </c>
      <c r="J354" s="81" t="s">
        <v>32</v>
      </c>
      <c r="K354" s="81" t="s">
        <v>1224</v>
      </c>
      <c r="L354" s="29">
        <v>5</v>
      </c>
      <c r="M354" s="83">
        <f>H354*10000</f>
      </c>
      <c r="N354" s="83">
        <f>M354*L354</f>
      </c>
      <c r="O354" s="83">
        <f>M354*L354</f>
      </c>
      <c r="P354" s="83">
        <v>0</v>
      </c>
      <c r="Q354" s="83">
        <f>P354/70</f>
      </c>
      <c r="R354" s="83">
        <f>Q354*4</f>
      </c>
      <c r="S354" s="13"/>
      <c r="T354" s="13"/>
      <c r="U354" s="13"/>
      <c r="V354" s="18"/>
      <c r="W354" s="13"/>
    </row>
    <row x14ac:dyDescent="0.25" r="355" customHeight="1" ht="58.5">
      <c r="A355" s="80">
        <v>17</v>
      </c>
      <c r="B355" s="81" t="s">
        <v>1194</v>
      </c>
      <c r="C355" s="81" t="s">
        <v>1241</v>
      </c>
      <c r="D355" s="81" t="s">
        <v>552</v>
      </c>
      <c r="E355" s="81" t="s">
        <v>28</v>
      </c>
      <c r="F355" s="81" t="s">
        <v>1242</v>
      </c>
      <c r="G355" s="81" t="s">
        <v>104</v>
      </c>
      <c r="H355" s="82">
        <v>0.025</v>
      </c>
      <c r="I355" s="81" t="s">
        <v>1243</v>
      </c>
      <c r="J355" s="81" t="s">
        <v>32</v>
      </c>
      <c r="K355" s="81" t="s">
        <v>1224</v>
      </c>
      <c r="L355" s="29">
        <v>5</v>
      </c>
      <c r="M355" s="83">
        <f>H355*10000</f>
      </c>
      <c r="N355" s="83">
        <f>M355*L355</f>
      </c>
      <c r="O355" s="83">
        <f>M355*L355</f>
      </c>
      <c r="P355" s="83">
        <v>0</v>
      </c>
      <c r="Q355" s="83">
        <f>P355/70</f>
      </c>
      <c r="R355" s="83">
        <f>Q355*4</f>
      </c>
      <c r="S355" s="13"/>
      <c r="T355" s="13"/>
      <c r="U355" s="13"/>
      <c r="V355" s="18"/>
      <c r="W355" s="13"/>
    </row>
    <row x14ac:dyDescent="0.25" r="356" customHeight="1" ht="58.5">
      <c r="A356" s="80">
        <v>18</v>
      </c>
      <c r="B356" s="81" t="s">
        <v>1194</v>
      </c>
      <c r="C356" s="81" t="s">
        <v>1244</v>
      </c>
      <c r="D356" s="81" t="s">
        <v>552</v>
      </c>
      <c r="E356" s="81" t="s">
        <v>1000</v>
      </c>
      <c r="F356" s="81" t="s">
        <v>1245</v>
      </c>
      <c r="G356" s="81" t="s">
        <v>104</v>
      </c>
      <c r="H356" s="82">
        <v>0.05</v>
      </c>
      <c r="I356" s="81" t="s">
        <v>1246</v>
      </c>
      <c r="J356" s="81" t="s">
        <v>32</v>
      </c>
      <c r="K356" s="81" t="s">
        <v>1224</v>
      </c>
      <c r="L356" s="29">
        <v>5</v>
      </c>
      <c r="M356" s="83">
        <f>H356*10000</f>
      </c>
      <c r="N356" s="83">
        <f>M356*L356</f>
      </c>
      <c r="O356" s="83">
        <f>M356*L356</f>
      </c>
      <c r="P356" s="83">
        <v>0</v>
      </c>
      <c r="Q356" s="83">
        <f>P356/70</f>
      </c>
      <c r="R356" s="83">
        <f>Q356*4</f>
      </c>
      <c r="S356" s="13"/>
      <c r="T356" s="13"/>
      <c r="U356" s="13"/>
      <c r="V356" s="18"/>
      <c r="W356" s="13"/>
    </row>
    <row x14ac:dyDescent="0.25" r="357" customHeight="1" ht="58.5">
      <c r="A357" s="80">
        <v>19</v>
      </c>
      <c r="B357" s="81" t="s">
        <v>1194</v>
      </c>
      <c r="C357" s="81" t="s">
        <v>1247</v>
      </c>
      <c r="D357" s="81" t="s">
        <v>552</v>
      </c>
      <c r="E357" s="81" t="s">
        <v>28</v>
      </c>
      <c r="F357" s="81" t="s">
        <v>1248</v>
      </c>
      <c r="G357" s="81" t="s">
        <v>104</v>
      </c>
      <c r="H357" s="82">
        <v>0.04</v>
      </c>
      <c r="I357" s="81" t="s">
        <v>1249</v>
      </c>
      <c r="J357" s="81" t="s">
        <v>32</v>
      </c>
      <c r="K357" s="81" t="s">
        <v>1224</v>
      </c>
      <c r="L357" s="29">
        <v>3</v>
      </c>
      <c r="M357" s="83">
        <f>H357*10000</f>
      </c>
      <c r="N357" s="83">
        <f>M357*L357</f>
      </c>
      <c r="O357" s="83">
        <f>M357*L357</f>
      </c>
      <c r="P357" s="83">
        <v>0</v>
      </c>
      <c r="Q357" s="83">
        <f>P357/70</f>
      </c>
      <c r="R357" s="83">
        <f>Q357*4</f>
      </c>
      <c r="S357" s="13"/>
      <c r="T357" s="13"/>
      <c r="U357" s="13"/>
      <c r="V357" s="18"/>
      <c r="W357" s="13"/>
    </row>
    <row x14ac:dyDescent="0.25" r="358" customHeight="1" ht="58.5">
      <c r="A358" s="80">
        <v>20</v>
      </c>
      <c r="B358" s="81" t="s">
        <v>1194</v>
      </c>
      <c r="C358" s="81" t="s">
        <v>1250</v>
      </c>
      <c r="D358" s="81" t="s">
        <v>552</v>
      </c>
      <c r="E358" s="81" t="s">
        <v>67</v>
      </c>
      <c r="F358" s="81" t="s">
        <v>1251</v>
      </c>
      <c r="G358" s="81" t="s">
        <v>23</v>
      </c>
      <c r="H358" s="82">
        <v>2.55</v>
      </c>
      <c r="I358" s="81" t="s">
        <v>1252</v>
      </c>
      <c r="J358" s="81" t="s">
        <v>25</v>
      </c>
      <c r="K358" s="81" t="s">
        <v>26</v>
      </c>
      <c r="L358" s="29">
        <v>13</v>
      </c>
      <c r="M358" s="83">
        <f>H358*10000*0.25</f>
      </c>
      <c r="N358" s="83">
        <f>M358*L358</f>
      </c>
      <c r="O358" s="83">
        <f>M358*3</f>
      </c>
      <c r="P358" s="83">
        <f>M358*10*0.8</f>
      </c>
      <c r="Q358" s="83">
        <f>P358/70</f>
      </c>
      <c r="R358" s="83">
        <f>Q358*4</f>
      </c>
      <c r="S358" s="13"/>
      <c r="T358" s="13"/>
      <c r="U358" s="13"/>
      <c r="V358" s="18"/>
      <c r="W358" s="13"/>
    </row>
    <row x14ac:dyDescent="0.25" r="359" customHeight="1" ht="58.5">
      <c r="A359" s="80">
        <v>21</v>
      </c>
      <c r="B359" s="81" t="s">
        <v>1194</v>
      </c>
      <c r="C359" s="81" t="s">
        <v>1253</v>
      </c>
      <c r="D359" s="81" t="s">
        <v>552</v>
      </c>
      <c r="E359" s="81" t="s">
        <v>1254</v>
      </c>
      <c r="F359" s="81" t="s">
        <v>1255</v>
      </c>
      <c r="G359" s="81" t="s">
        <v>643</v>
      </c>
      <c r="H359" s="80">
        <v>2</v>
      </c>
      <c r="I359" s="81" t="s">
        <v>1256</v>
      </c>
      <c r="J359" s="81" t="s">
        <v>32</v>
      </c>
      <c r="K359" s="81" t="s">
        <v>26</v>
      </c>
      <c r="L359" s="29">
        <v>8</v>
      </c>
      <c r="M359" s="83">
        <f>H359*10000*0.25</f>
      </c>
      <c r="N359" s="83">
        <f>M359*L359</f>
      </c>
      <c r="O359" s="83">
        <f>M359*L359</f>
      </c>
      <c r="P359" s="83">
        <v>0</v>
      </c>
      <c r="Q359" s="83">
        <f>P359/70</f>
      </c>
      <c r="R359" s="83">
        <f>Q359*4</f>
      </c>
      <c r="S359" s="13"/>
      <c r="T359" s="13"/>
      <c r="U359" s="13"/>
      <c r="V359" s="18"/>
      <c r="W359" s="13"/>
    </row>
    <row x14ac:dyDescent="0.25" r="360" customHeight="1" ht="58.5">
      <c r="A360" s="80">
        <v>22</v>
      </c>
      <c r="B360" s="81" t="s">
        <v>1194</v>
      </c>
      <c r="C360" s="81" t="s">
        <v>1257</v>
      </c>
      <c r="D360" s="81" t="s">
        <v>552</v>
      </c>
      <c r="E360" s="81" t="s">
        <v>1254</v>
      </c>
      <c r="F360" s="81" t="s">
        <v>1258</v>
      </c>
      <c r="G360" s="81" t="s">
        <v>23</v>
      </c>
      <c r="H360" s="82">
        <v>0.58</v>
      </c>
      <c r="I360" s="81" t="s">
        <v>1259</v>
      </c>
      <c r="J360" s="81" t="s">
        <v>32</v>
      </c>
      <c r="K360" s="81" t="s">
        <v>26</v>
      </c>
      <c r="L360" s="29">
        <v>8</v>
      </c>
      <c r="M360" s="83">
        <f>H360*10000*0.25</f>
      </c>
      <c r="N360" s="83">
        <f>M360*L360</f>
      </c>
      <c r="O360" s="83">
        <f>M360*2</f>
      </c>
      <c r="P360" s="83">
        <f>M360*6*0.8</f>
      </c>
      <c r="Q360" s="83">
        <f>P360/70</f>
      </c>
      <c r="R360" s="83">
        <f>Q360*4</f>
      </c>
      <c r="S360" s="13"/>
      <c r="T360" s="13"/>
      <c r="U360" s="13"/>
      <c r="V360" s="18"/>
      <c r="W360" s="13"/>
    </row>
    <row x14ac:dyDescent="0.25" r="361" customHeight="1" ht="58.5">
      <c r="A361" s="80">
        <v>23</v>
      </c>
      <c r="B361" s="81" t="s">
        <v>1194</v>
      </c>
      <c r="C361" s="81" t="s">
        <v>1260</v>
      </c>
      <c r="D361" s="81" t="s">
        <v>1235</v>
      </c>
      <c r="E361" s="81" t="s">
        <v>1261</v>
      </c>
      <c r="F361" s="81" t="s">
        <v>1262</v>
      </c>
      <c r="G361" s="81" t="s">
        <v>353</v>
      </c>
      <c r="H361" s="82">
        <v>0.085</v>
      </c>
      <c r="I361" s="81" t="s">
        <v>1263</v>
      </c>
      <c r="J361" s="81" t="s">
        <v>32</v>
      </c>
      <c r="K361" s="81" t="s">
        <v>26</v>
      </c>
      <c r="L361" s="29">
        <v>3</v>
      </c>
      <c r="M361" s="83">
        <f>H361*10000*0.25</f>
      </c>
      <c r="N361" s="83">
        <f>M361*L361</f>
      </c>
      <c r="O361" s="83">
        <f>M361*L361</f>
      </c>
      <c r="P361" s="83">
        <v>0</v>
      </c>
      <c r="Q361" s="83">
        <f>P361/70</f>
      </c>
      <c r="R361" s="83">
        <f>Q361*4</f>
      </c>
      <c r="S361" s="13"/>
      <c r="T361" s="13"/>
      <c r="U361" s="13"/>
      <c r="V361" s="18"/>
      <c r="W361" s="13"/>
    </row>
    <row x14ac:dyDescent="0.25" r="362" customHeight="1" ht="58.5">
      <c r="A362" s="80">
        <v>24</v>
      </c>
      <c r="B362" s="81" t="s">
        <v>1194</v>
      </c>
      <c r="C362" s="81" t="s">
        <v>1264</v>
      </c>
      <c r="D362" s="81" t="s">
        <v>552</v>
      </c>
      <c r="E362" s="81" t="s">
        <v>28</v>
      </c>
      <c r="F362" s="81" t="s">
        <v>1265</v>
      </c>
      <c r="G362" s="81" t="s">
        <v>30</v>
      </c>
      <c r="H362" s="82">
        <v>0.06</v>
      </c>
      <c r="I362" s="81" t="s">
        <v>1266</v>
      </c>
      <c r="J362" s="81" t="s">
        <v>32</v>
      </c>
      <c r="K362" s="81" t="s">
        <v>26</v>
      </c>
      <c r="L362" s="29">
        <v>3</v>
      </c>
      <c r="M362" s="83">
        <f>H362*10000*0.25</f>
      </c>
      <c r="N362" s="83">
        <f>M362*L362</f>
      </c>
      <c r="O362" s="83">
        <f>M362*L362</f>
      </c>
      <c r="P362" s="83">
        <v>0</v>
      </c>
      <c r="Q362" s="83">
        <f>P362/70</f>
      </c>
      <c r="R362" s="83">
        <f>Q362*4</f>
      </c>
      <c r="S362" s="13"/>
      <c r="T362" s="13"/>
      <c r="U362" s="13"/>
      <c r="V362" s="18"/>
      <c r="W362" s="13"/>
    </row>
    <row x14ac:dyDescent="0.25" r="363" customHeight="1" ht="58.5">
      <c r="A363" s="80">
        <v>25</v>
      </c>
      <c r="B363" s="81" t="s">
        <v>1194</v>
      </c>
      <c r="C363" s="81" t="s">
        <v>1267</v>
      </c>
      <c r="D363" s="81" t="s">
        <v>552</v>
      </c>
      <c r="E363" s="81" t="s">
        <v>28</v>
      </c>
      <c r="F363" s="81" t="s">
        <v>1265</v>
      </c>
      <c r="G363" s="81" t="s">
        <v>30</v>
      </c>
      <c r="H363" s="82">
        <v>0.05</v>
      </c>
      <c r="I363" s="81" t="s">
        <v>1268</v>
      </c>
      <c r="J363" s="81" t="s">
        <v>32</v>
      </c>
      <c r="K363" s="81" t="s">
        <v>26</v>
      </c>
      <c r="L363" s="29">
        <v>3</v>
      </c>
      <c r="M363" s="83">
        <f>H363*10000*0.25</f>
      </c>
      <c r="N363" s="83">
        <f>M363*L363</f>
      </c>
      <c r="O363" s="83">
        <f>M363*L363</f>
      </c>
      <c r="P363" s="83">
        <v>0</v>
      </c>
      <c r="Q363" s="83">
        <f>P363/70</f>
      </c>
      <c r="R363" s="83">
        <f>Q363*4</f>
      </c>
      <c r="S363" s="13"/>
      <c r="T363" s="13"/>
      <c r="U363" s="13"/>
      <c r="V363" s="18"/>
      <c r="W363" s="13"/>
    </row>
    <row x14ac:dyDescent="0.25" r="364" customHeight="1" ht="58.5">
      <c r="A364" s="80">
        <v>26</v>
      </c>
      <c r="B364" s="81" t="s">
        <v>1194</v>
      </c>
      <c r="C364" s="81" t="s">
        <v>1269</v>
      </c>
      <c r="D364" s="81" t="s">
        <v>1270</v>
      </c>
      <c r="E364" s="81" t="s">
        <v>35</v>
      </c>
      <c r="F364" s="81" t="s">
        <v>1271</v>
      </c>
      <c r="G364" s="81" t="s">
        <v>23</v>
      </c>
      <c r="H364" s="82">
        <v>0.35</v>
      </c>
      <c r="I364" s="81" t="s">
        <v>1272</v>
      </c>
      <c r="J364" s="81" t="s">
        <v>32</v>
      </c>
      <c r="K364" s="81" t="s">
        <v>26</v>
      </c>
      <c r="L364" s="29">
        <v>12</v>
      </c>
      <c r="M364" s="83">
        <f>H364*10000*0.25</f>
      </c>
      <c r="N364" s="83">
        <f>M364*L364</f>
      </c>
      <c r="O364" s="83">
        <f>M364*2</f>
      </c>
      <c r="P364" s="83">
        <f>M364*10*0.8</f>
      </c>
      <c r="Q364" s="83">
        <f>P364/70</f>
      </c>
      <c r="R364" s="83">
        <f>Q364*4</f>
      </c>
      <c r="S364" s="13"/>
      <c r="T364" s="13"/>
      <c r="U364" s="13"/>
      <c r="V364" s="18"/>
      <c r="W364" s="13"/>
    </row>
    <row x14ac:dyDescent="0.25" r="365" customHeight="1" ht="58.5">
      <c r="A365" s="80">
        <v>27</v>
      </c>
      <c r="B365" s="81" t="s">
        <v>1194</v>
      </c>
      <c r="C365" s="81" t="s">
        <v>1273</v>
      </c>
      <c r="D365" s="81" t="s">
        <v>1270</v>
      </c>
      <c r="E365" s="81" t="s">
        <v>1274</v>
      </c>
      <c r="F365" s="81" t="s">
        <v>1265</v>
      </c>
      <c r="G365" s="81" t="s">
        <v>30</v>
      </c>
      <c r="H365" s="82">
        <v>0.015</v>
      </c>
      <c r="I365" s="81" t="s">
        <v>1275</v>
      </c>
      <c r="J365" s="81" t="s">
        <v>32</v>
      </c>
      <c r="K365" s="81" t="s">
        <v>26</v>
      </c>
      <c r="L365" s="29">
        <v>2</v>
      </c>
      <c r="M365" s="83">
        <f>H365*10000*0.25</f>
      </c>
      <c r="N365" s="83">
        <f>M365*L365</f>
      </c>
      <c r="O365" s="83">
        <f>M365*L365</f>
      </c>
      <c r="P365" s="83">
        <v>0</v>
      </c>
      <c r="Q365" s="83">
        <f>P365/70</f>
      </c>
      <c r="R365" s="83">
        <f>Q365*4</f>
      </c>
      <c r="S365" s="13"/>
      <c r="T365" s="13"/>
      <c r="U365" s="13"/>
      <c r="V365" s="18"/>
      <c r="W365" s="13"/>
    </row>
    <row x14ac:dyDescent="0.25" r="366" customHeight="1" ht="58.5">
      <c r="A366" s="80">
        <v>28</v>
      </c>
      <c r="B366" s="81" t="s">
        <v>1194</v>
      </c>
      <c r="C366" s="81" t="s">
        <v>1276</v>
      </c>
      <c r="D366" s="81" t="s">
        <v>1277</v>
      </c>
      <c r="E366" s="81" t="s">
        <v>559</v>
      </c>
      <c r="F366" s="81" t="s">
        <v>1278</v>
      </c>
      <c r="G366" s="81" t="s">
        <v>23</v>
      </c>
      <c r="H366" s="82">
        <v>0.325</v>
      </c>
      <c r="I366" s="81" t="s">
        <v>1279</v>
      </c>
      <c r="J366" s="81" t="s">
        <v>32</v>
      </c>
      <c r="K366" s="81" t="s">
        <v>1224</v>
      </c>
      <c r="L366" s="29">
        <v>5</v>
      </c>
      <c r="M366" s="83">
        <f>H366*10000*0.25</f>
      </c>
      <c r="N366" s="83">
        <f>M366*L366</f>
      </c>
      <c r="O366" s="83">
        <f>M366*2</f>
      </c>
      <c r="P366" s="83">
        <f>M366*4*0.8</f>
      </c>
      <c r="Q366" s="83">
        <f>P366/70</f>
      </c>
      <c r="R366" s="83">
        <f>Q366*4</f>
      </c>
      <c r="S366" s="13"/>
      <c r="T366" s="13"/>
      <c r="U366" s="13"/>
      <c r="V366" s="18"/>
      <c r="W366" s="13"/>
    </row>
    <row x14ac:dyDescent="0.25" r="367" customHeight="1" ht="58.5">
      <c r="A367" s="80">
        <v>29</v>
      </c>
      <c r="B367" s="81" t="s">
        <v>1194</v>
      </c>
      <c r="C367" s="81" t="s">
        <v>1280</v>
      </c>
      <c r="D367" s="81" t="s">
        <v>552</v>
      </c>
      <c r="E367" s="81" t="s">
        <v>1261</v>
      </c>
      <c r="F367" s="81" t="s">
        <v>1281</v>
      </c>
      <c r="G367" s="81" t="s">
        <v>30</v>
      </c>
      <c r="H367" s="82">
        <v>0.96</v>
      </c>
      <c r="I367" s="81" t="s">
        <v>1282</v>
      </c>
      <c r="J367" s="81" t="s">
        <v>25</v>
      </c>
      <c r="K367" s="81" t="s">
        <v>1224</v>
      </c>
      <c r="L367" s="29">
        <v>3</v>
      </c>
      <c r="M367" s="83">
        <f>H367*10000*0.25</f>
      </c>
      <c r="N367" s="83">
        <f>M367*L367</f>
      </c>
      <c r="O367" s="83">
        <f>M367*L367</f>
      </c>
      <c r="P367" s="83">
        <v>0</v>
      </c>
      <c r="Q367" s="83">
        <f>P367/70</f>
      </c>
      <c r="R367" s="83">
        <f>Q367*4</f>
      </c>
      <c r="S367" s="13"/>
      <c r="T367" s="13"/>
      <c r="U367" s="13"/>
      <c r="V367" s="18"/>
      <c r="W367" s="13"/>
    </row>
    <row x14ac:dyDescent="0.25" r="368" customHeight="1" ht="58.5">
      <c r="A368" s="80">
        <v>30</v>
      </c>
      <c r="B368" s="81" t="s">
        <v>1194</v>
      </c>
      <c r="C368" s="81" t="s">
        <v>1283</v>
      </c>
      <c r="D368" s="81" t="s">
        <v>1284</v>
      </c>
      <c r="E368" s="81" t="s">
        <v>56</v>
      </c>
      <c r="F368" s="81" t="s">
        <v>1278</v>
      </c>
      <c r="G368" s="81" t="s">
        <v>23</v>
      </c>
      <c r="H368" s="82">
        <v>0.4</v>
      </c>
      <c r="I368" s="81" t="s">
        <v>1285</v>
      </c>
      <c r="J368" s="81" t="s">
        <v>32</v>
      </c>
      <c r="K368" s="81" t="s">
        <v>1224</v>
      </c>
      <c r="L368" s="29">
        <v>10</v>
      </c>
      <c r="M368" s="83">
        <f>H368*10000*0.25</f>
      </c>
      <c r="N368" s="83">
        <f>M368*L368</f>
      </c>
      <c r="O368" s="83">
        <f>M368*2</f>
      </c>
      <c r="P368" s="83">
        <f>M368*8*0.8</f>
      </c>
      <c r="Q368" s="83">
        <f>P368/70</f>
      </c>
      <c r="R368" s="83">
        <f>Q368*4</f>
      </c>
      <c r="S368" s="13"/>
      <c r="T368" s="13"/>
      <c r="U368" s="13"/>
      <c r="V368" s="18"/>
      <c r="W368" s="13"/>
    </row>
    <row x14ac:dyDescent="0.25" r="369" customHeight="1" ht="58.5">
      <c r="A369" s="80">
        <v>31</v>
      </c>
      <c r="B369" s="81" t="s">
        <v>1194</v>
      </c>
      <c r="C369" s="81" t="s">
        <v>1286</v>
      </c>
      <c r="D369" s="81" t="s">
        <v>1277</v>
      </c>
      <c r="E369" s="81" t="s">
        <v>56</v>
      </c>
      <c r="F369" s="81" t="s">
        <v>1278</v>
      </c>
      <c r="G369" s="81" t="s">
        <v>23</v>
      </c>
      <c r="H369" s="82">
        <v>2.4</v>
      </c>
      <c r="I369" s="81" t="s">
        <v>1287</v>
      </c>
      <c r="J369" s="81" t="s">
        <v>32</v>
      </c>
      <c r="K369" s="81" t="s">
        <v>1224</v>
      </c>
      <c r="L369" s="29">
        <v>10</v>
      </c>
      <c r="M369" s="83">
        <f>H369*10000*0.25</f>
      </c>
      <c r="N369" s="83">
        <f>M369*L369</f>
      </c>
      <c r="O369" s="83">
        <f>M369*2</f>
      </c>
      <c r="P369" s="83">
        <f>M369*8*0.8</f>
      </c>
      <c r="Q369" s="83">
        <f>P369/70</f>
      </c>
      <c r="R369" s="83">
        <f>Q369*4</f>
      </c>
      <c r="S369" s="13"/>
      <c r="T369" s="13"/>
      <c r="U369" s="13"/>
      <c r="V369" s="18"/>
      <c r="W369" s="13"/>
    </row>
    <row x14ac:dyDescent="0.25" r="370" customHeight="1" ht="58.5">
      <c r="A370" s="80">
        <v>32</v>
      </c>
      <c r="B370" s="81" t="s">
        <v>1194</v>
      </c>
      <c r="C370" s="81" t="s">
        <v>1288</v>
      </c>
      <c r="D370" s="81" t="s">
        <v>1284</v>
      </c>
      <c r="E370" s="81" t="s">
        <v>72</v>
      </c>
      <c r="F370" s="81" t="s">
        <v>1278</v>
      </c>
      <c r="G370" s="81" t="s">
        <v>23</v>
      </c>
      <c r="H370" s="82">
        <v>2.65</v>
      </c>
      <c r="I370" s="81" t="s">
        <v>1289</v>
      </c>
      <c r="J370" s="81" t="s">
        <v>32</v>
      </c>
      <c r="K370" s="81" t="s">
        <v>1224</v>
      </c>
      <c r="L370" s="29">
        <v>8</v>
      </c>
      <c r="M370" s="83">
        <f>H370*10000*0.25</f>
      </c>
      <c r="N370" s="83">
        <f>M370*L370</f>
      </c>
      <c r="O370" s="83">
        <f>M370*2</f>
      </c>
      <c r="P370" s="83">
        <f>M370*6*0.8</f>
      </c>
      <c r="Q370" s="83">
        <f>P370/70</f>
      </c>
      <c r="R370" s="83">
        <f>Q370*4</f>
      </c>
      <c r="S370" s="13"/>
      <c r="T370" s="13"/>
      <c r="U370" s="13"/>
      <c r="V370" s="18"/>
      <c r="W370" s="13"/>
    </row>
    <row x14ac:dyDescent="0.25" r="371" customHeight="1" ht="58.5">
      <c r="A371" s="80">
        <v>33</v>
      </c>
      <c r="B371" s="81" t="s">
        <v>1194</v>
      </c>
      <c r="C371" s="81" t="s">
        <v>1290</v>
      </c>
      <c r="D371" s="81" t="s">
        <v>1277</v>
      </c>
      <c r="E371" s="81" t="s">
        <v>56</v>
      </c>
      <c r="F371" s="81" t="s">
        <v>1278</v>
      </c>
      <c r="G371" s="81" t="s">
        <v>23</v>
      </c>
      <c r="H371" s="82">
        <v>0.84</v>
      </c>
      <c r="I371" s="81" t="s">
        <v>1291</v>
      </c>
      <c r="J371" s="81" t="s">
        <v>32</v>
      </c>
      <c r="K371" s="81" t="s">
        <v>1224</v>
      </c>
      <c r="L371" s="29">
        <v>10</v>
      </c>
      <c r="M371" s="83">
        <f>H371*10000*0.25</f>
      </c>
      <c r="N371" s="83">
        <f>M371*L371</f>
      </c>
      <c r="O371" s="83">
        <f>M371*2</f>
      </c>
      <c r="P371" s="83">
        <f>M371*8*0.8</f>
      </c>
      <c r="Q371" s="83">
        <f>P371/70</f>
      </c>
      <c r="R371" s="83">
        <f>Q371*4</f>
      </c>
      <c r="S371" s="13"/>
      <c r="T371" s="13"/>
      <c r="U371" s="13"/>
      <c r="V371" s="18"/>
      <c r="W371" s="13"/>
    </row>
    <row x14ac:dyDescent="0.25" r="372" customHeight="1" ht="58.5">
      <c r="A372" s="80">
        <v>34</v>
      </c>
      <c r="B372" s="81" t="s">
        <v>1194</v>
      </c>
      <c r="C372" s="81" t="s">
        <v>1292</v>
      </c>
      <c r="D372" s="81" t="s">
        <v>1277</v>
      </c>
      <c r="E372" s="81" t="s">
        <v>1293</v>
      </c>
      <c r="F372" s="81" t="s">
        <v>1278</v>
      </c>
      <c r="G372" s="81" t="s">
        <v>23</v>
      </c>
      <c r="H372" s="82">
        <v>1.137</v>
      </c>
      <c r="I372" s="81" t="s">
        <v>1294</v>
      </c>
      <c r="J372" s="81" t="s">
        <v>32</v>
      </c>
      <c r="K372" s="81" t="s">
        <v>1224</v>
      </c>
      <c r="L372" s="29">
        <v>13</v>
      </c>
      <c r="M372" s="83">
        <f>H372*10000*0.25</f>
      </c>
      <c r="N372" s="83">
        <f>M372*L372</f>
      </c>
      <c r="O372" s="83">
        <f>M372*10</f>
      </c>
      <c r="P372" s="83">
        <f>M372*16*0.8</f>
      </c>
      <c r="Q372" s="83">
        <f>P372/70</f>
      </c>
      <c r="R372" s="83">
        <f>Q372*4</f>
      </c>
      <c r="S372" s="13"/>
      <c r="T372" s="13"/>
      <c r="U372" s="13"/>
      <c r="V372" s="18"/>
      <c r="W372" s="13"/>
    </row>
    <row x14ac:dyDescent="0.25" r="373" customHeight="1" ht="58.5">
      <c r="A373" s="80">
        <v>35</v>
      </c>
      <c r="B373" s="81" t="s">
        <v>1194</v>
      </c>
      <c r="C373" s="81" t="s">
        <v>1295</v>
      </c>
      <c r="D373" s="81" t="s">
        <v>1277</v>
      </c>
      <c r="E373" s="81" t="s">
        <v>56</v>
      </c>
      <c r="F373" s="81" t="s">
        <v>1296</v>
      </c>
      <c r="G373" s="81" t="s">
        <v>30</v>
      </c>
      <c r="H373" s="82">
        <v>0.35</v>
      </c>
      <c r="I373" s="81" t="s">
        <v>1297</v>
      </c>
      <c r="J373" s="81" t="s">
        <v>32</v>
      </c>
      <c r="K373" s="81" t="s">
        <v>1224</v>
      </c>
      <c r="L373" s="29">
        <v>12</v>
      </c>
      <c r="M373" s="83">
        <f>H373*10000*0.25</f>
      </c>
      <c r="N373" s="83">
        <f>M373*L373</f>
      </c>
      <c r="O373" s="83">
        <f>M373*L373</f>
      </c>
      <c r="P373" s="83">
        <v>0</v>
      </c>
      <c r="Q373" s="83">
        <f>P373/70</f>
      </c>
      <c r="R373" s="83">
        <f>Q373*4</f>
      </c>
      <c r="S373" s="13"/>
      <c r="T373" s="13"/>
      <c r="U373" s="13"/>
      <c r="V373" s="18"/>
      <c r="W373" s="13"/>
    </row>
    <row x14ac:dyDescent="0.25" r="374" customHeight="1" ht="58.5">
      <c r="A374" s="80">
        <v>36</v>
      </c>
      <c r="B374" s="81" t="s">
        <v>1194</v>
      </c>
      <c r="C374" s="81" t="s">
        <v>1298</v>
      </c>
      <c r="D374" s="81" t="s">
        <v>1299</v>
      </c>
      <c r="E374" s="81" t="s">
        <v>67</v>
      </c>
      <c r="F374" s="81" t="s">
        <v>1300</v>
      </c>
      <c r="G374" s="81" t="s">
        <v>23</v>
      </c>
      <c r="H374" s="82">
        <v>0.67</v>
      </c>
      <c r="I374" s="81" t="s">
        <v>1301</v>
      </c>
      <c r="J374" s="81" t="s">
        <v>32</v>
      </c>
      <c r="K374" s="81" t="s">
        <v>1224</v>
      </c>
      <c r="L374" s="29">
        <v>16</v>
      </c>
      <c r="M374" s="83">
        <f>H374*10000*0.25</f>
      </c>
      <c r="N374" s="83">
        <f>M374*L374</f>
      </c>
      <c r="O374" s="83">
        <f>M374*3</f>
      </c>
      <c r="P374" s="83">
        <f>M374*13*0.8</f>
      </c>
      <c r="Q374" s="83">
        <f>P374/70</f>
      </c>
      <c r="R374" s="83">
        <f>Q374*4</f>
      </c>
      <c r="S374" s="13"/>
      <c r="T374" s="13"/>
      <c r="U374" s="13"/>
      <c r="V374" s="18"/>
      <c r="W374" s="13"/>
    </row>
    <row x14ac:dyDescent="0.25" r="375" customHeight="1" ht="58.5">
      <c r="A375" s="80">
        <v>37</v>
      </c>
      <c r="B375" s="81" t="s">
        <v>1194</v>
      </c>
      <c r="C375" s="81" t="s">
        <v>1302</v>
      </c>
      <c r="D375" s="81" t="s">
        <v>1299</v>
      </c>
      <c r="E375" s="81" t="s">
        <v>559</v>
      </c>
      <c r="F375" s="81" t="s">
        <v>1303</v>
      </c>
      <c r="G375" s="81" t="s">
        <v>30</v>
      </c>
      <c r="H375" s="82">
        <v>0.87</v>
      </c>
      <c r="I375" s="81" t="s">
        <v>1304</v>
      </c>
      <c r="J375" s="81" t="s">
        <v>32</v>
      </c>
      <c r="K375" s="81" t="s">
        <v>1224</v>
      </c>
      <c r="L375" s="29">
        <v>5</v>
      </c>
      <c r="M375" s="83">
        <f>H375*10000*0.25</f>
      </c>
      <c r="N375" s="83">
        <f>M375*L375</f>
      </c>
      <c r="O375" s="83">
        <f>M375*L375</f>
      </c>
      <c r="P375" s="83">
        <v>0</v>
      </c>
      <c r="Q375" s="83">
        <f>P375/70</f>
      </c>
      <c r="R375" s="83">
        <f>Q375*4</f>
      </c>
      <c r="S375" s="13"/>
      <c r="T375" s="13"/>
      <c r="U375" s="13"/>
      <c r="V375" s="18"/>
      <c r="W375" s="13"/>
    </row>
    <row x14ac:dyDescent="0.25" r="376" customHeight="1" ht="58.5">
      <c r="A376" s="80">
        <v>38</v>
      </c>
      <c r="B376" s="81" t="s">
        <v>1194</v>
      </c>
      <c r="C376" s="81" t="s">
        <v>1305</v>
      </c>
      <c r="D376" s="81" t="s">
        <v>1306</v>
      </c>
      <c r="E376" s="81" t="s">
        <v>28</v>
      </c>
      <c r="F376" s="81" t="s">
        <v>1307</v>
      </c>
      <c r="G376" s="81" t="s">
        <v>30</v>
      </c>
      <c r="H376" s="82">
        <v>0.18</v>
      </c>
      <c r="I376" s="81" t="s">
        <v>1308</v>
      </c>
      <c r="J376" s="81" t="s">
        <v>32</v>
      </c>
      <c r="K376" s="81" t="s">
        <v>1224</v>
      </c>
      <c r="L376" s="29">
        <v>3</v>
      </c>
      <c r="M376" s="83">
        <f>H376*10000*0.25</f>
      </c>
      <c r="N376" s="83">
        <f>M376*L376</f>
      </c>
      <c r="O376" s="83">
        <f>M376*L376</f>
      </c>
      <c r="P376" s="83">
        <v>0</v>
      </c>
      <c r="Q376" s="83">
        <f>P376/70</f>
      </c>
      <c r="R376" s="83">
        <f>Q376*4</f>
      </c>
      <c r="S376" s="13"/>
      <c r="T376" s="13"/>
      <c r="U376" s="13"/>
      <c r="V376" s="18"/>
      <c r="W376" s="13"/>
    </row>
    <row x14ac:dyDescent="0.25" r="377" customHeight="1" ht="58.5">
      <c r="A377" s="80">
        <v>39</v>
      </c>
      <c r="B377" s="81" t="s">
        <v>1194</v>
      </c>
      <c r="C377" s="81" t="s">
        <v>1309</v>
      </c>
      <c r="D377" s="81" t="s">
        <v>552</v>
      </c>
      <c r="E377" s="81" t="s">
        <v>56</v>
      </c>
      <c r="F377" s="81" t="s">
        <v>1310</v>
      </c>
      <c r="G377" s="81" t="s">
        <v>23</v>
      </c>
      <c r="H377" s="82">
        <v>0.4</v>
      </c>
      <c r="I377" s="81" t="s">
        <v>1311</v>
      </c>
      <c r="J377" s="81" t="s">
        <v>32</v>
      </c>
      <c r="K377" s="81" t="s">
        <v>1224</v>
      </c>
      <c r="L377" s="29">
        <v>12</v>
      </c>
      <c r="M377" s="83">
        <f>H377*10000*0.25</f>
      </c>
      <c r="N377" s="83">
        <f>M377*L377</f>
      </c>
      <c r="O377" s="83">
        <f>M377*2</f>
      </c>
      <c r="P377" s="83">
        <f>M377*10*0.8</f>
      </c>
      <c r="Q377" s="83">
        <f>P377/70</f>
      </c>
      <c r="R377" s="83">
        <f>Q377*4</f>
      </c>
      <c r="S377" s="13"/>
      <c r="T377" s="13"/>
      <c r="U377" s="13"/>
      <c r="V377" s="18"/>
      <c r="W377" s="13"/>
    </row>
    <row x14ac:dyDescent="0.25" r="378" customHeight="1" ht="58.5">
      <c r="A378" s="80">
        <v>40</v>
      </c>
      <c r="B378" s="81" t="s">
        <v>1194</v>
      </c>
      <c r="C378" s="81" t="s">
        <v>1312</v>
      </c>
      <c r="D378" s="81" t="s">
        <v>1313</v>
      </c>
      <c r="E378" s="81" t="s">
        <v>1314</v>
      </c>
      <c r="F378" s="81" t="s">
        <v>1315</v>
      </c>
      <c r="G378" s="81" t="s">
        <v>23</v>
      </c>
      <c r="H378" s="82">
        <v>0.81</v>
      </c>
      <c r="I378" s="81" t="s">
        <v>1316</v>
      </c>
      <c r="J378" s="81" t="s">
        <v>32</v>
      </c>
      <c r="K378" s="81" t="s">
        <v>1224</v>
      </c>
      <c r="L378" s="29">
        <v>13</v>
      </c>
      <c r="M378" s="83">
        <f>H378*10000*0.25</f>
      </c>
      <c r="N378" s="83">
        <f>M378*L378</f>
      </c>
      <c r="O378" s="83">
        <f>M378*3</f>
      </c>
      <c r="P378" s="83">
        <f>M378*10*0.8</f>
      </c>
      <c r="Q378" s="83">
        <f>P378/70</f>
      </c>
      <c r="R378" s="83">
        <f>Q378*4</f>
      </c>
      <c r="S378" s="13"/>
      <c r="T378" s="13"/>
      <c r="U378" s="13"/>
      <c r="V378" s="18"/>
      <c r="W378" s="13"/>
    </row>
    <row x14ac:dyDescent="0.25" r="379" customHeight="1" ht="58.5">
      <c r="A379" s="80">
        <v>41</v>
      </c>
      <c r="B379" s="81" t="s">
        <v>1194</v>
      </c>
      <c r="C379" s="81" t="s">
        <v>1317</v>
      </c>
      <c r="D379" s="81" t="s">
        <v>552</v>
      </c>
      <c r="E379" s="81" t="s">
        <v>1318</v>
      </c>
      <c r="F379" s="81" t="s">
        <v>1315</v>
      </c>
      <c r="G379" s="81" t="s">
        <v>23</v>
      </c>
      <c r="H379" s="82">
        <v>1.5</v>
      </c>
      <c r="I379" s="81" t="s">
        <v>1319</v>
      </c>
      <c r="J379" s="81" t="s">
        <v>32</v>
      </c>
      <c r="K379" s="81" t="s">
        <v>1224</v>
      </c>
      <c r="L379" s="29">
        <v>10</v>
      </c>
      <c r="M379" s="83">
        <f>H379*10000*0.25</f>
      </c>
      <c r="N379" s="83">
        <f>M379*L379</f>
      </c>
      <c r="O379" s="83">
        <f>M379*2</f>
      </c>
      <c r="P379" s="83">
        <f>M379*8*0.8</f>
      </c>
      <c r="Q379" s="83">
        <f>P379/70</f>
      </c>
      <c r="R379" s="83">
        <f>Q379*4</f>
      </c>
      <c r="S379" s="13"/>
      <c r="T379" s="13"/>
      <c r="U379" s="13"/>
      <c r="V379" s="18"/>
      <c r="W379" s="13"/>
    </row>
    <row x14ac:dyDescent="0.25" r="380" customHeight="1" ht="58.5">
      <c r="A380" s="80">
        <v>42</v>
      </c>
      <c r="B380" s="81" t="s">
        <v>1194</v>
      </c>
      <c r="C380" s="81" t="s">
        <v>1320</v>
      </c>
      <c r="D380" s="81" t="s">
        <v>785</v>
      </c>
      <c r="E380" s="81" t="s">
        <v>1321</v>
      </c>
      <c r="F380" s="81" t="s">
        <v>1322</v>
      </c>
      <c r="G380" s="81" t="s">
        <v>23</v>
      </c>
      <c r="H380" s="82">
        <v>0.5</v>
      </c>
      <c r="I380" s="81" t="s">
        <v>1323</v>
      </c>
      <c r="J380" s="81" t="s">
        <v>25</v>
      </c>
      <c r="K380" s="81" t="s">
        <v>59</v>
      </c>
      <c r="L380" s="29">
        <v>10</v>
      </c>
      <c r="M380" s="83">
        <f>H380*10000*0.25</f>
      </c>
      <c r="N380" s="83">
        <f>M380*L380</f>
      </c>
      <c r="O380" s="83">
        <f>M380*2</f>
      </c>
      <c r="P380" s="83">
        <f>M380*8*0.8</f>
      </c>
      <c r="Q380" s="83">
        <f>P380/70</f>
      </c>
      <c r="R380" s="83">
        <f>Q380*4</f>
      </c>
      <c r="S380" s="13"/>
      <c r="T380" s="13"/>
      <c r="U380" s="13"/>
      <c r="V380" s="18"/>
      <c r="W380" s="13"/>
    </row>
    <row x14ac:dyDescent="0.25" r="381" customHeight="1" ht="58.5">
      <c r="A381" s="80">
        <v>43</v>
      </c>
      <c r="B381" s="81" t="s">
        <v>1194</v>
      </c>
      <c r="C381" s="81" t="s">
        <v>1324</v>
      </c>
      <c r="D381" s="81" t="s">
        <v>1325</v>
      </c>
      <c r="E381" s="81" t="s">
        <v>1326</v>
      </c>
      <c r="F381" s="81" t="s">
        <v>1322</v>
      </c>
      <c r="G381" s="81" t="s">
        <v>23</v>
      </c>
      <c r="H381" s="82">
        <v>0.85</v>
      </c>
      <c r="I381" s="81" t="s">
        <v>1327</v>
      </c>
      <c r="J381" s="81" t="s">
        <v>25</v>
      </c>
      <c r="K381" s="81" t="s">
        <v>59</v>
      </c>
      <c r="L381" s="29">
        <v>10</v>
      </c>
      <c r="M381" s="83">
        <f>H381*10000*0.25</f>
      </c>
      <c r="N381" s="83">
        <f>M381*L381</f>
      </c>
      <c r="O381" s="83">
        <f>M381*2</f>
      </c>
      <c r="P381" s="83">
        <f>M381*8*0.8</f>
      </c>
      <c r="Q381" s="83">
        <f>P381/70</f>
      </c>
      <c r="R381" s="83">
        <f>Q381*4</f>
      </c>
      <c r="S381" s="13"/>
      <c r="T381" s="13"/>
      <c r="U381" s="13"/>
      <c r="V381" s="18"/>
      <c r="W381" s="13"/>
    </row>
    <row x14ac:dyDescent="0.25" r="382" customHeight="1" ht="58.5">
      <c r="A382" s="80">
        <v>44</v>
      </c>
      <c r="B382" s="81" t="s">
        <v>1194</v>
      </c>
      <c r="C382" s="81" t="s">
        <v>1328</v>
      </c>
      <c r="D382" s="81" t="s">
        <v>1325</v>
      </c>
      <c r="E382" s="81" t="s">
        <v>1329</v>
      </c>
      <c r="F382" s="81" t="s">
        <v>1322</v>
      </c>
      <c r="G382" s="81" t="s">
        <v>23</v>
      </c>
      <c r="H382" s="80" t="s">
        <v>1330</v>
      </c>
      <c r="I382" s="81" t="s">
        <v>1331</v>
      </c>
      <c r="J382" s="81" t="s">
        <v>25</v>
      </c>
      <c r="K382" s="81" t="s">
        <v>59</v>
      </c>
      <c r="L382" s="29">
        <v>8</v>
      </c>
      <c r="M382" s="83">
        <f>H382*10000*0.25</f>
      </c>
      <c r="N382" s="83">
        <f>M382*L382</f>
      </c>
      <c r="O382" s="83">
        <f>M382*2</f>
      </c>
      <c r="P382" s="83">
        <f>M382*6*0.8</f>
      </c>
      <c r="Q382" s="83">
        <f>P382/70</f>
      </c>
      <c r="R382" s="83">
        <f>Q382*4</f>
      </c>
      <c r="S382" s="13"/>
      <c r="T382" s="13"/>
      <c r="U382" s="13"/>
      <c r="V382" s="18"/>
      <c r="W382" s="13"/>
    </row>
    <row x14ac:dyDescent="0.25" r="383" customHeight="1" ht="58.5">
      <c r="A383" s="80">
        <v>45</v>
      </c>
      <c r="B383" s="81" t="s">
        <v>1194</v>
      </c>
      <c r="C383" s="81" t="s">
        <v>1332</v>
      </c>
      <c r="D383" s="81" t="s">
        <v>552</v>
      </c>
      <c r="E383" s="81" t="s">
        <v>1318</v>
      </c>
      <c r="F383" s="81" t="s">
        <v>1322</v>
      </c>
      <c r="G383" s="81" t="s">
        <v>23</v>
      </c>
      <c r="H383" s="82">
        <v>0.5</v>
      </c>
      <c r="I383" s="81" t="s">
        <v>1331</v>
      </c>
      <c r="J383" s="81" t="s">
        <v>32</v>
      </c>
      <c r="K383" s="81" t="s">
        <v>1224</v>
      </c>
      <c r="L383" s="29">
        <v>10</v>
      </c>
      <c r="M383" s="83">
        <f>H383*10000*0.25</f>
      </c>
      <c r="N383" s="83">
        <f>M383*L383</f>
      </c>
      <c r="O383" s="83">
        <f>M383*2</f>
      </c>
      <c r="P383" s="83">
        <f>M383*8*0.8</f>
      </c>
      <c r="Q383" s="83">
        <f>P383/70</f>
      </c>
      <c r="R383" s="83">
        <f>Q383*4</f>
      </c>
      <c r="S383" s="13"/>
      <c r="T383" s="13"/>
      <c r="U383" s="13"/>
      <c r="V383" s="18"/>
      <c r="W383" s="13"/>
    </row>
    <row x14ac:dyDescent="0.25" r="384" customHeight="1" ht="18.75">
      <c r="A384" s="84">
        <v>1</v>
      </c>
      <c r="B384" s="85" t="s">
        <v>1333</v>
      </c>
      <c r="C384" s="85" t="s">
        <v>1334</v>
      </c>
      <c r="D384" s="85" t="s">
        <v>564</v>
      </c>
      <c r="E384" s="85" t="s">
        <v>1161</v>
      </c>
      <c r="F384" s="85" t="s">
        <v>1335</v>
      </c>
      <c r="G384" s="85" t="s">
        <v>23</v>
      </c>
      <c r="H384" s="86">
        <v>1.6</v>
      </c>
      <c r="I384" s="85" t="s">
        <v>1336</v>
      </c>
      <c r="J384" s="85" t="s">
        <v>25</v>
      </c>
      <c r="K384" s="85" t="s">
        <v>48</v>
      </c>
      <c r="L384" s="29">
        <v>15</v>
      </c>
      <c r="M384" s="87">
        <f>H384*10000*0.25</f>
      </c>
      <c r="N384" s="87">
        <f>M384*L384</f>
      </c>
      <c r="O384" s="87">
        <f>M384*3</f>
      </c>
      <c r="P384" s="87">
        <f>M384*12*0.8</f>
      </c>
      <c r="Q384" s="87">
        <f>P384/70</f>
      </c>
      <c r="R384" s="87">
        <f>Q384*4</f>
      </c>
      <c r="S384" s="13"/>
      <c r="T384" s="13"/>
      <c r="U384" s="13"/>
      <c r="V384" s="18"/>
      <c r="W384" s="13"/>
    </row>
    <row x14ac:dyDescent="0.25" r="385" customHeight="1" ht="18.75">
      <c r="A385" s="84">
        <v>2</v>
      </c>
      <c r="B385" s="85" t="s">
        <v>1333</v>
      </c>
      <c r="C385" s="85" t="s">
        <v>1334</v>
      </c>
      <c r="D385" s="85" t="s">
        <v>1337</v>
      </c>
      <c r="E385" s="85" t="s">
        <v>570</v>
      </c>
      <c r="F385" s="85" t="s">
        <v>1335</v>
      </c>
      <c r="G385" s="85" t="s">
        <v>23</v>
      </c>
      <c r="H385" s="86">
        <v>0.64</v>
      </c>
      <c r="I385" s="85" t="s">
        <v>1338</v>
      </c>
      <c r="J385" s="85" t="s">
        <v>25</v>
      </c>
      <c r="K385" s="85" t="s">
        <v>48</v>
      </c>
      <c r="L385" s="29">
        <v>5</v>
      </c>
      <c r="M385" s="87">
        <f>H385*10000*0.25</f>
      </c>
      <c r="N385" s="87">
        <f>M385*L385</f>
      </c>
      <c r="O385" s="87">
        <f>M385*1</f>
      </c>
      <c r="P385" s="87">
        <f>M385*4*0.8</f>
      </c>
      <c r="Q385" s="87">
        <f>P385/70</f>
      </c>
      <c r="R385" s="87">
        <f>Q385*4</f>
      </c>
      <c r="S385" s="13"/>
      <c r="T385" s="13"/>
      <c r="U385" s="13"/>
      <c r="V385" s="18"/>
      <c r="W385" s="13"/>
    </row>
    <row x14ac:dyDescent="0.25" r="386" customHeight="1" ht="18.75">
      <c r="A386" s="84">
        <v>3</v>
      </c>
      <c r="B386" s="85" t="s">
        <v>1333</v>
      </c>
      <c r="C386" s="85" t="s">
        <v>1334</v>
      </c>
      <c r="D386" s="85" t="s">
        <v>584</v>
      </c>
      <c r="E386" s="85" t="s">
        <v>1339</v>
      </c>
      <c r="F386" s="85" t="s">
        <v>1335</v>
      </c>
      <c r="G386" s="85" t="s">
        <v>23</v>
      </c>
      <c r="H386" s="86">
        <v>0.9</v>
      </c>
      <c r="I386" s="85" t="s">
        <v>1340</v>
      </c>
      <c r="J386" s="85" t="s">
        <v>25</v>
      </c>
      <c r="K386" s="85" t="s">
        <v>48</v>
      </c>
      <c r="L386" s="29">
        <v>8</v>
      </c>
      <c r="M386" s="87">
        <f>H386*10000*0.25</f>
      </c>
      <c r="N386" s="87">
        <f>M386*L386</f>
      </c>
      <c r="O386" s="87">
        <f>M386*2</f>
      </c>
      <c r="P386" s="87">
        <f>M386*6*0.8</f>
      </c>
      <c r="Q386" s="87">
        <f>P386/70</f>
      </c>
      <c r="R386" s="87">
        <f>Q386*4</f>
      </c>
      <c r="S386" s="13"/>
      <c r="T386" s="13"/>
      <c r="U386" s="13"/>
      <c r="V386" s="18"/>
      <c r="W386" s="13"/>
    </row>
    <row x14ac:dyDescent="0.25" r="387" customHeight="1" ht="18.75">
      <c r="A387" s="84">
        <v>4</v>
      </c>
      <c r="B387" s="85" t="s">
        <v>1333</v>
      </c>
      <c r="C387" s="85" t="s">
        <v>1341</v>
      </c>
      <c r="D387" s="85" t="s">
        <v>615</v>
      </c>
      <c r="E387" s="85" t="s">
        <v>56</v>
      </c>
      <c r="F387" s="85" t="s">
        <v>1335</v>
      </c>
      <c r="G387" s="85" t="s">
        <v>23</v>
      </c>
      <c r="H387" s="86">
        <v>8.2</v>
      </c>
      <c r="I387" s="85" t="s">
        <v>1342</v>
      </c>
      <c r="J387" s="85" t="s">
        <v>25</v>
      </c>
      <c r="K387" s="85" t="s">
        <v>48</v>
      </c>
      <c r="L387" s="29">
        <v>8</v>
      </c>
      <c r="M387" s="87">
        <f>H387*10000*0.25</f>
      </c>
      <c r="N387" s="87">
        <f>M387*L387</f>
      </c>
      <c r="O387" s="87">
        <f>M387*2</f>
      </c>
      <c r="P387" s="87">
        <f>M387*6*0.8</f>
      </c>
      <c r="Q387" s="87">
        <f>P387/70</f>
      </c>
      <c r="R387" s="87">
        <f>Q387*4</f>
      </c>
      <c r="S387" s="13"/>
      <c r="T387" s="13"/>
      <c r="U387" s="13"/>
      <c r="V387" s="18"/>
      <c r="W387" s="13"/>
    </row>
    <row x14ac:dyDescent="0.25" r="388" customHeight="1" ht="18.75">
      <c r="A388" s="84">
        <v>5</v>
      </c>
      <c r="B388" s="85" t="s">
        <v>1333</v>
      </c>
      <c r="C388" s="85" t="s">
        <v>1341</v>
      </c>
      <c r="D388" s="85" t="s">
        <v>1337</v>
      </c>
      <c r="E388" s="85" t="s">
        <v>641</v>
      </c>
      <c r="F388" s="85" t="s">
        <v>1343</v>
      </c>
      <c r="G388" s="85" t="s">
        <v>23</v>
      </c>
      <c r="H388" s="86">
        <v>1.2</v>
      </c>
      <c r="I388" s="85" t="s">
        <v>1344</v>
      </c>
      <c r="J388" s="85" t="s">
        <v>32</v>
      </c>
      <c r="K388" s="85" t="s">
        <v>1345</v>
      </c>
      <c r="L388" s="29">
        <v>10</v>
      </c>
      <c r="M388" s="87">
        <f>H388*10000*0.25</f>
      </c>
      <c r="N388" s="87">
        <f>M388*L388</f>
      </c>
      <c r="O388" s="87">
        <f>M388*2</f>
      </c>
      <c r="P388" s="87">
        <f>M388*8*0.8</f>
      </c>
      <c r="Q388" s="87">
        <f>P388/70</f>
      </c>
      <c r="R388" s="87">
        <f>Q388*4</f>
      </c>
      <c r="S388" s="13"/>
      <c r="T388" s="13"/>
      <c r="U388" s="13"/>
      <c r="V388" s="18"/>
      <c r="W388" s="13"/>
    </row>
    <row x14ac:dyDescent="0.25" r="389" customHeight="1" ht="18.75">
      <c r="A389" s="84">
        <v>6</v>
      </c>
      <c r="B389" s="85" t="s">
        <v>1333</v>
      </c>
      <c r="C389" s="85" t="s">
        <v>1346</v>
      </c>
      <c r="D389" s="85" t="s">
        <v>615</v>
      </c>
      <c r="E389" s="85" t="s">
        <v>641</v>
      </c>
      <c r="F389" s="85" t="s">
        <v>1335</v>
      </c>
      <c r="G389" s="85" t="s">
        <v>23</v>
      </c>
      <c r="H389" s="86">
        <v>0.9</v>
      </c>
      <c r="I389" s="85" t="s">
        <v>1347</v>
      </c>
      <c r="J389" s="85" t="s">
        <v>32</v>
      </c>
      <c r="K389" s="85" t="s">
        <v>48</v>
      </c>
      <c r="L389" s="29">
        <v>10</v>
      </c>
      <c r="M389" s="87">
        <f>H389*10000*0.25</f>
      </c>
      <c r="N389" s="87">
        <f>M389*L389</f>
      </c>
      <c r="O389" s="87">
        <f>M389*2</f>
      </c>
      <c r="P389" s="87">
        <f>M389*8*0.8</f>
      </c>
      <c r="Q389" s="87">
        <f>P389/70</f>
      </c>
      <c r="R389" s="87">
        <f>Q389*4</f>
      </c>
      <c r="S389" s="13"/>
      <c r="T389" s="13"/>
      <c r="U389" s="13"/>
      <c r="V389" s="18"/>
      <c r="W389" s="13"/>
    </row>
    <row x14ac:dyDescent="0.25" r="390" customHeight="1" ht="18.75">
      <c r="A390" s="84">
        <v>7</v>
      </c>
      <c r="B390" s="85" t="s">
        <v>1333</v>
      </c>
      <c r="C390" s="85" t="s">
        <v>1341</v>
      </c>
      <c r="D390" s="85" t="s">
        <v>1348</v>
      </c>
      <c r="E390" s="85" t="s">
        <v>869</v>
      </c>
      <c r="F390" s="85" t="s">
        <v>1335</v>
      </c>
      <c r="G390" s="85" t="s">
        <v>23</v>
      </c>
      <c r="H390" s="86">
        <v>6.2</v>
      </c>
      <c r="I390" s="85" t="s">
        <v>1349</v>
      </c>
      <c r="J390" s="85" t="s">
        <v>25</v>
      </c>
      <c r="K390" s="85" t="s">
        <v>59</v>
      </c>
      <c r="L390" s="29">
        <v>8</v>
      </c>
      <c r="M390" s="87">
        <f>H390*10000*0.25</f>
      </c>
      <c r="N390" s="87">
        <f>M390*L390</f>
      </c>
      <c r="O390" s="87">
        <f>M390*2</f>
      </c>
      <c r="P390" s="87">
        <f>M390*6*0.8</f>
      </c>
      <c r="Q390" s="87">
        <f>P390/70</f>
      </c>
      <c r="R390" s="87">
        <f>Q390*4</f>
      </c>
      <c r="S390" s="13"/>
      <c r="T390" s="13"/>
      <c r="U390" s="13"/>
      <c r="V390" s="18"/>
      <c r="W390" s="13"/>
    </row>
    <row x14ac:dyDescent="0.25" r="391" customHeight="1" ht="18.75">
      <c r="A391" s="84">
        <v>8</v>
      </c>
      <c r="B391" s="85" t="s">
        <v>1333</v>
      </c>
      <c r="C391" s="85" t="s">
        <v>1350</v>
      </c>
      <c r="D391" s="85" t="s">
        <v>1337</v>
      </c>
      <c r="E391" s="85" t="s">
        <v>553</v>
      </c>
      <c r="F391" s="85" t="s">
        <v>1351</v>
      </c>
      <c r="G391" s="85" t="s">
        <v>30</v>
      </c>
      <c r="H391" s="86">
        <v>0.5</v>
      </c>
      <c r="I391" s="85" t="s">
        <v>1352</v>
      </c>
      <c r="J391" s="85" t="s">
        <v>25</v>
      </c>
      <c r="K391" s="85" t="s">
        <v>48</v>
      </c>
      <c r="L391" s="29">
        <v>3</v>
      </c>
      <c r="M391" s="87">
        <f>H391*10000*0.25</f>
      </c>
      <c r="N391" s="87">
        <f>M391*L391</f>
      </c>
      <c r="O391" s="87">
        <f>M391*L391</f>
      </c>
      <c r="P391" s="87">
        <v>0</v>
      </c>
      <c r="Q391" s="87">
        <f>P391/70</f>
      </c>
      <c r="R391" s="87">
        <f>Q391*4</f>
      </c>
      <c r="S391" s="13"/>
      <c r="T391" s="13"/>
      <c r="U391" s="13"/>
      <c r="V391" s="18"/>
      <c r="W391" s="13"/>
    </row>
    <row x14ac:dyDescent="0.25" r="392" customHeight="1" ht="18.75">
      <c r="A392" s="84">
        <v>9</v>
      </c>
      <c r="B392" s="85" t="s">
        <v>1333</v>
      </c>
      <c r="C392" s="85" t="s">
        <v>1353</v>
      </c>
      <c r="D392" s="85" t="s">
        <v>1354</v>
      </c>
      <c r="E392" s="85" t="s">
        <v>1355</v>
      </c>
      <c r="F392" s="85" t="s">
        <v>1335</v>
      </c>
      <c r="G392" s="85" t="s">
        <v>23</v>
      </c>
      <c r="H392" s="86">
        <v>1.1</v>
      </c>
      <c r="I392" s="85" t="s">
        <v>1356</v>
      </c>
      <c r="J392" s="85" t="s">
        <v>25</v>
      </c>
      <c r="K392" s="85" t="s">
        <v>48</v>
      </c>
      <c r="L392" s="29">
        <v>5</v>
      </c>
      <c r="M392" s="87">
        <f>H392*10000*0.25</f>
      </c>
      <c r="N392" s="87">
        <f>M392*L392</f>
      </c>
      <c r="O392" s="87">
        <f>M392*1</f>
      </c>
      <c r="P392" s="87">
        <f>M392*4*0.8</f>
      </c>
      <c r="Q392" s="87">
        <f>P392/70</f>
      </c>
      <c r="R392" s="87">
        <f>Q392*4</f>
      </c>
      <c r="S392" s="13"/>
      <c r="T392" s="13"/>
      <c r="U392" s="13"/>
      <c r="V392" s="18"/>
      <c r="W392" s="13"/>
    </row>
    <row x14ac:dyDescent="0.25" r="393" customHeight="1" ht="18.75">
      <c r="A393" s="84">
        <v>10</v>
      </c>
      <c r="B393" s="85" t="s">
        <v>1333</v>
      </c>
      <c r="C393" s="85" t="s">
        <v>1357</v>
      </c>
      <c r="D393" s="85" t="s">
        <v>615</v>
      </c>
      <c r="E393" s="85" t="s">
        <v>898</v>
      </c>
      <c r="F393" s="85" t="s">
        <v>1335</v>
      </c>
      <c r="G393" s="85" t="s">
        <v>23</v>
      </c>
      <c r="H393" s="84">
        <v>4</v>
      </c>
      <c r="I393" s="85" t="s">
        <v>1358</v>
      </c>
      <c r="J393" s="85" t="s">
        <v>25</v>
      </c>
      <c r="K393" s="85" t="s">
        <v>59</v>
      </c>
      <c r="L393" s="29">
        <v>8</v>
      </c>
      <c r="M393" s="87">
        <f>H393*10000*0.25</f>
      </c>
      <c r="N393" s="87">
        <f>M393*L393</f>
      </c>
      <c r="O393" s="87">
        <f>M393*2</f>
      </c>
      <c r="P393" s="87">
        <f>M393*6*0.8</f>
      </c>
      <c r="Q393" s="87">
        <f>P393/70</f>
      </c>
      <c r="R393" s="87">
        <f>Q393*4</f>
      </c>
      <c r="S393" s="13"/>
      <c r="T393" s="13"/>
      <c r="U393" s="13"/>
      <c r="V393" s="18"/>
      <c r="W393" s="13"/>
    </row>
    <row x14ac:dyDescent="0.25" r="394" customHeight="1" ht="18.75">
      <c r="A394" s="84">
        <v>11</v>
      </c>
      <c r="B394" s="85" t="s">
        <v>1333</v>
      </c>
      <c r="C394" s="85" t="s">
        <v>1357</v>
      </c>
      <c r="D394" s="85" t="s">
        <v>615</v>
      </c>
      <c r="E394" s="85" t="s">
        <v>1359</v>
      </c>
      <c r="F394" s="85" t="s">
        <v>1335</v>
      </c>
      <c r="G394" s="85" t="s">
        <v>23</v>
      </c>
      <c r="H394" s="86">
        <v>4.5</v>
      </c>
      <c r="I394" s="85" t="s">
        <v>1360</v>
      </c>
      <c r="J394" s="85" t="s">
        <v>25</v>
      </c>
      <c r="K394" s="85" t="s">
        <v>59</v>
      </c>
      <c r="L394" s="29">
        <v>13</v>
      </c>
      <c r="M394" s="87">
        <f>H394*10000*0.25</f>
      </c>
      <c r="N394" s="87">
        <f>M394*L394</f>
      </c>
      <c r="O394" s="87">
        <f>M394*3</f>
      </c>
      <c r="P394" s="87">
        <f>M394*10*0.8</f>
      </c>
      <c r="Q394" s="87">
        <f>P394/70</f>
      </c>
      <c r="R394" s="87">
        <f>Q394*4</f>
      </c>
      <c r="S394" s="13"/>
      <c r="T394" s="13"/>
      <c r="U394" s="13"/>
      <c r="V394" s="18"/>
      <c r="W394" s="13"/>
    </row>
    <row x14ac:dyDescent="0.25" r="395" customHeight="1" ht="18.75">
      <c r="A395" s="84">
        <v>12</v>
      </c>
      <c r="B395" s="85" t="s">
        <v>1333</v>
      </c>
      <c r="C395" s="85" t="s">
        <v>1361</v>
      </c>
      <c r="D395" s="85" t="s">
        <v>1362</v>
      </c>
      <c r="E395" s="85" t="s">
        <v>570</v>
      </c>
      <c r="F395" s="85" t="s">
        <v>1363</v>
      </c>
      <c r="G395" s="85" t="s">
        <v>104</v>
      </c>
      <c r="H395" s="86">
        <v>0.05</v>
      </c>
      <c r="I395" s="85" t="s">
        <v>1364</v>
      </c>
      <c r="J395" s="85" t="s">
        <v>25</v>
      </c>
      <c r="K395" s="85" t="s">
        <v>48</v>
      </c>
      <c r="L395" s="29">
        <v>5</v>
      </c>
      <c r="M395" s="87">
        <f>H395*10000</f>
      </c>
      <c r="N395" s="87">
        <f>M395*L395</f>
      </c>
      <c r="O395" s="87">
        <f>M395*L395</f>
      </c>
      <c r="P395" s="87">
        <v>0</v>
      </c>
      <c r="Q395" s="87">
        <f>P395/70</f>
      </c>
      <c r="R395" s="87">
        <f>Q395*4</f>
      </c>
      <c r="S395" s="13"/>
      <c r="T395" s="13"/>
      <c r="U395" s="13"/>
      <c r="V395" s="18"/>
      <c r="W395" s="13"/>
    </row>
    <row x14ac:dyDescent="0.25" r="396" customHeight="1" ht="18.75">
      <c r="A396" s="84">
        <v>13</v>
      </c>
      <c r="B396" s="85" t="s">
        <v>1333</v>
      </c>
      <c r="C396" s="85" t="s">
        <v>1365</v>
      </c>
      <c r="D396" s="85" t="s">
        <v>615</v>
      </c>
      <c r="E396" s="85" t="s">
        <v>377</v>
      </c>
      <c r="F396" s="85" t="s">
        <v>1335</v>
      </c>
      <c r="G396" s="85" t="s">
        <v>23</v>
      </c>
      <c r="H396" s="84">
        <v>13</v>
      </c>
      <c r="I396" s="85" t="s">
        <v>1366</v>
      </c>
      <c r="J396" s="85" t="s">
        <v>25</v>
      </c>
      <c r="K396" s="85" t="s">
        <v>48</v>
      </c>
      <c r="L396" s="29">
        <v>12</v>
      </c>
      <c r="M396" s="87">
        <f>H396*10000*0.25</f>
      </c>
      <c r="N396" s="87">
        <f>M396*L396</f>
      </c>
      <c r="O396" s="87">
        <f>M396*2</f>
      </c>
      <c r="P396" s="87">
        <f>M396*10*0.8</f>
      </c>
      <c r="Q396" s="87">
        <f>P396/70</f>
      </c>
      <c r="R396" s="87">
        <f>Q396*4</f>
      </c>
      <c r="S396" s="13"/>
      <c r="T396" s="13"/>
      <c r="U396" s="13"/>
      <c r="V396" s="18"/>
      <c r="W396" s="13"/>
    </row>
    <row x14ac:dyDescent="0.25" r="397" customHeight="1" ht="18.75">
      <c r="A397" s="84">
        <v>14</v>
      </c>
      <c r="B397" s="85" t="s">
        <v>1333</v>
      </c>
      <c r="C397" s="85" t="s">
        <v>1367</v>
      </c>
      <c r="D397" s="85" t="s">
        <v>1368</v>
      </c>
      <c r="E397" s="85" t="s">
        <v>1369</v>
      </c>
      <c r="F397" s="85" t="s">
        <v>1335</v>
      </c>
      <c r="G397" s="85" t="s">
        <v>23</v>
      </c>
      <c r="H397" s="84">
        <v>21</v>
      </c>
      <c r="I397" s="85" t="s">
        <v>1370</v>
      </c>
      <c r="J397" s="85" t="s">
        <v>25</v>
      </c>
      <c r="K397" s="85" t="s">
        <v>59</v>
      </c>
      <c r="L397" s="29">
        <v>10</v>
      </c>
      <c r="M397" s="87">
        <f>H397*10000*0.25</f>
      </c>
      <c r="N397" s="87">
        <f>M397*L397</f>
      </c>
      <c r="O397" s="87">
        <f>M397*2</f>
      </c>
      <c r="P397" s="87">
        <f>M397*8*0.8</f>
      </c>
      <c r="Q397" s="87">
        <f>P397/70</f>
      </c>
      <c r="R397" s="87">
        <f>Q397*4</f>
      </c>
      <c r="S397" s="13"/>
      <c r="T397" s="13"/>
      <c r="U397" s="13"/>
      <c r="V397" s="18"/>
      <c r="W397" s="13"/>
    </row>
    <row x14ac:dyDescent="0.25" r="398" customHeight="1" ht="18.75">
      <c r="A398" s="84">
        <v>15</v>
      </c>
      <c r="B398" s="85" t="s">
        <v>1333</v>
      </c>
      <c r="C398" s="85" t="s">
        <v>1371</v>
      </c>
      <c r="D398" s="85" t="s">
        <v>570</v>
      </c>
      <c r="E398" s="85" t="s">
        <v>873</v>
      </c>
      <c r="F398" s="85" t="s">
        <v>1335</v>
      </c>
      <c r="G398" s="85" t="s">
        <v>23</v>
      </c>
      <c r="H398" s="86">
        <v>0.14</v>
      </c>
      <c r="I398" s="85" t="s">
        <v>1372</v>
      </c>
      <c r="J398" s="85" t="s">
        <v>25</v>
      </c>
      <c r="K398" s="85" t="s">
        <v>48</v>
      </c>
      <c r="L398" s="29">
        <v>8</v>
      </c>
      <c r="M398" s="87">
        <f>H398*10000*0.25</f>
      </c>
      <c r="N398" s="87">
        <f>M398*L398</f>
      </c>
      <c r="O398" s="87">
        <f>M398*2</f>
      </c>
      <c r="P398" s="87">
        <f>M398*6*0.8</f>
      </c>
      <c r="Q398" s="87">
        <f>P398/70</f>
      </c>
      <c r="R398" s="87">
        <f>Q398*4</f>
      </c>
      <c r="S398" s="13"/>
      <c r="T398" s="13"/>
      <c r="U398" s="13"/>
      <c r="V398" s="18"/>
      <c r="W398" s="13"/>
    </row>
    <row x14ac:dyDescent="0.25" r="399" customHeight="1" ht="18.75">
      <c r="A399" s="84">
        <v>16</v>
      </c>
      <c r="B399" s="85" t="s">
        <v>1333</v>
      </c>
      <c r="C399" s="85" t="s">
        <v>1373</v>
      </c>
      <c r="D399" s="85" t="s">
        <v>615</v>
      </c>
      <c r="E399" s="85" t="s">
        <v>1374</v>
      </c>
      <c r="F399" s="85" t="s">
        <v>1375</v>
      </c>
      <c r="G399" s="85" t="s">
        <v>23</v>
      </c>
      <c r="H399" s="86">
        <v>37.5</v>
      </c>
      <c r="I399" s="85" t="s">
        <v>1376</v>
      </c>
      <c r="J399" s="85" t="s">
        <v>25</v>
      </c>
      <c r="K399" s="85" t="s">
        <v>59</v>
      </c>
      <c r="L399" s="29">
        <v>15</v>
      </c>
      <c r="M399" s="87">
        <f>H399*10000*0.25</f>
      </c>
      <c r="N399" s="87">
        <f>M399*L399</f>
      </c>
      <c r="O399" s="87">
        <f>M399*3</f>
      </c>
      <c r="P399" s="87">
        <f>M399*12*0.8</f>
      </c>
      <c r="Q399" s="87">
        <f>P399/70</f>
      </c>
      <c r="R399" s="87">
        <f>Q399*4</f>
      </c>
      <c r="S399" s="13"/>
      <c r="T399" s="13"/>
      <c r="U399" s="13"/>
      <c r="V399" s="18"/>
      <c r="W399" s="13"/>
    </row>
    <row x14ac:dyDescent="0.25" r="400" customHeight="1" ht="18.75">
      <c r="A400" s="84">
        <v>17</v>
      </c>
      <c r="B400" s="85" t="s">
        <v>1333</v>
      </c>
      <c r="C400" s="85" t="s">
        <v>1377</v>
      </c>
      <c r="D400" s="85" t="s">
        <v>1378</v>
      </c>
      <c r="E400" s="85" t="s">
        <v>869</v>
      </c>
      <c r="F400" s="85" t="s">
        <v>1335</v>
      </c>
      <c r="G400" s="85" t="s">
        <v>23</v>
      </c>
      <c r="H400" s="84">
        <v>5</v>
      </c>
      <c r="I400" s="85" t="s">
        <v>1379</v>
      </c>
      <c r="J400" s="85" t="s">
        <v>25</v>
      </c>
      <c r="K400" s="85" t="s">
        <v>48</v>
      </c>
      <c r="L400" s="29">
        <v>7</v>
      </c>
      <c r="M400" s="87">
        <f>H400*10000*0.25</f>
      </c>
      <c r="N400" s="87">
        <f>M400*L400</f>
      </c>
      <c r="O400" s="87">
        <f>M400*2</f>
      </c>
      <c r="P400" s="87">
        <f>M400*5*0.8</f>
      </c>
      <c r="Q400" s="87">
        <f>P400/70</f>
      </c>
      <c r="R400" s="87">
        <f>Q400*4</f>
      </c>
      <c r="S400" s="13"/>
      <c r="T400" s="13"/>
      <c r="U400" s="13"/>
      <c r="V400" s="18"/>
      <c r="W400" s="13"/>
    </row>
    <row x14ac:dyDescent="0.25" r="401" customHeight="1" ht="18.75">
      <c r="A401" s="84">
        <v>18</v>
      </c>
      <c r="B401" s="85" t="s">
        <v>1333</v>
      </c>
      <c r="C401" s="85" t="s">
        <v>1380</v>
      </c>
      <c r="D401" s="85" t="s">
        <v>1381</v>
      </c>
      <c r="E401" s="85" t="s">
        <v>377</v>
      </c>
      <c r="F401" s="85" t="s">
        <v>1335</v>
      </c>
      <c r="G401" s="85" t="s">
        <v>23</v>
      </c>
      <c r="H401" s="86">
        <v>2.5</v>
      </c>
      <c r="I401" s="85" t="s">
        <v>1382</v>
      </c>
      <c r="J401" s="85" t="s">
        <v>25</v>
      </c>
      <c r="K401" s="85" t="s">
        <v>48</v>
      </c>
      <c r="L401" s="29">
        <v>10</v>
      </c>
      <c r="M401" s="87">
        <f>H401*10000*0.25</f>
      </c>
      <c r="N401" s="87">
        <f>M401*L401</f>
      </c>
      <c r="O401" s="87">
        <f>M401*2</f>
      </c>
      <c r="P401" s="87">
        <f>M401*8*0.8</f>
      </c>
      <c r="Q401" s="87">
        <f>P401/70</f>
      </c>
      <c r="R401" s="87">
        <f>Q401*4</f>
      </c>
      <c r="S401" s="13"/>
      <c r="T401" s="13"/>
      <c r="U401" s="13"/>
      <c r="V401" s="18"/>
      <c r="W401" s="13"/>
    </row>
    <row x14ac:dyDescent="0.25" r="402" customHeight="1" ht="18.75">
      <c r="A402" s="84">
        <v>19</v>
      </c>
      <c r="B402" s="85" t="s">
        <v>1333</v>
      </c>
      <c r="C402" s="85" t="s">
        <v>1380</v>
      </c>
      <c r="D402" s="85" t="s">
        <v>1362</v>
      </c>
      <c r="E402" s="85" t="s">
        <v>570</v>
      </c>
      <c r="F402" s="85" t="s">
        <v>1383</v>
      </c>
      <c r="G402" s="85" t="s">
        <v>353</v>
      </c>
      <c r="H402" s="86">
        <v>2.8</v>
      </c>
      <c r="I402" s="85" t="s">
        <v>1384</v>
      </c>
      <c r="J402" s="85" t="s">
        <v>32</v>
      </c>
      <c r="K402" s="85" t="s">
        <v>1345</v>
      </c>
      <c r="L402" s="29">
        <v>5</v>
      </c>
      <c r="M402" s="87">
        <f>H402*10000*0.25</f>
      </c>
      <c r="N402" s="87">
        <f>M402*L402</f>
      </c>
      <c r="O402" s="87">
        <f>M402*L402</f>
      </c>
      <c r="P402" s="87">
        <v>0</v>
      </c>
      <c r="Q402" s="87">
        <f>P402/70</f>
      </c>
      <c r="R402" s="87">
        <f>Q402*4</f>
      </c>
      <c r="S402" s="13"/>
      <c r="T402" s="13"/>
      <c r="U402" s="13"/>
      <c r="V402" s="18"/>
      <c r="W402" s="13"/>
    </row>
    <row x14ac:dyDescent="0.25" r="403" customHeight="1" ht="18.75">
      <c r="A403" s="84">
        <v>20</v>
      </c>
      <c r="B403" s="85" t="s">
        <v>1333</v>
      </c>
      <c r="C403" s="85" t="s">
        <v>1385</v>
      </c>
      <c r="D403" s="85" t="s">
        <v>1362</v>
      </c>
      <c r="E403" s="85" t="s">
        <v>377</v>
      </c>
      <c r="F403" s="85" t="s">
        <v>1335</v>
      </c>
      <c r="G403" s="85" t="s">
        <v>23</v>
      </c>
      <c r="H403" s="86">
        <v>3.6</v>
      </c>
      <c r="I403" s="85" t="s">
        <v>1386</v>
      </c>
      <c r="J403" s="85" t="s">
        <v>32</v>
      </c>
      <c r="K403" s="85" t="s">
        <v>48</v>
      </c>
      <c r="L403" s="29">
        <v>10</v>
      </c>
      <c r="M403" s="87">
        <f>H403*10000*0.25</f>
      </c>
      <c r="N403" s="87">
        <f>M403*L403</f>
      </c>
      <c r="O403" s="87">
        <f>M403*2</f>
      </c>
      <c r="P403" s="87">
        <f>M403*8*0.8</f>
      </c>
      <c r="Q403" s="87">
        <f>P403/70</f>
      </c>
      <c r="R403" s="87">
        <f>Q403*4</f>
      </c>
      <c r="S403" s="13"/>
      <c r="T403" s="13"/>
      <c r="U403" s="13"/>
      <c r="V403" s="18"/>
      <c r="W403" s="13"/>
    </row>
    <row x14ac:dyDescent="0.25" r="404" customHeight="1" ht="18.75" customFormat="1" s="1">
      <c r="A404" s="84">
        <v>21</v>
      </c>
      <c r="B404" s="85" t="s">
        <v>1333</v>
      </c>
      <c r="C404" s="85" t="s">
        <v>1387</v>
      </c>
      <c r="D404" s="85" t="s">
        <v>570</v>
      </c>
      <c r="E404" s="85" t="s">
        <v>575</v>
      </c>
      <c r="F404" s="85" t="s">
        <v>1335</v>
      </c>
      <c r="G404" s="85" t="s">
        <v>23</v>
      </c>
      <c r="H404" s="86">
        <v>4.83</v>
      </c>
      <c r="I404" s="85" t="s">
        <v>1388</v>
      </c>
      <c r="J404" s="85" t="s">
        <v>25</v>
      </c>
      <c r="K404" s="85" t="s">
        <v>59</v>
      </c>
      <c r="L404" s="88">
        <v>10</v>
      </c>
      <c r="M404" s="87">
        <f>H404*10000*0.25</f>
      </c>
      <c r="N404" s="87">
        <f>M404*L404</f>
      </c>
      <c r="O404" s="87">
        <f>M404*2</f>
      </c>
      <c r="P404" s="87">
        <f>M404*8*0.8</f>
      </c>
      <c r="Q404" s="87">
        <f>P404/70</f>
      </c>
      <c r="R404" s="87">
        <f>Q404*4</f>
      </c>
      <c r="S404" s="13"/>
      <c r="T404" s="13"/>
      <c r="U404" s="13"/>
      <c r="V404" s="13"/>
      <c r="W404" s="13"/>
    </row>
    <row x14ac:dyDescent="0.25" r="405" customHeight="1" ht="18.75">
      <c r="A405" s="84">
        <v>22</v>
      </c>
      <c r="B405" s="85" t="s">
        <v>1333</v>
      </c>
      <c r="C405" s="85" t="s">
        <v>1389</v>
      </c>
      <c r="D405" s="85" t="s">
        <v>1390</v>
      </c>
      <c r="E405" s="85" t="s">
        <v>898</v>
      </c>
      <c r="F405" s="85" t="s">
        <v>1335</v>
      </c>
      <c r="G405" s="85" t="s">
        <v>23</v>
      </c>
      <c r="H405" s="84">
        <v>17</v>
      </c>
      <c r="I405" s="85" t="s">
        <v>1391</v>
      </c>
      <c r="J405" s="85" t="s">
        <v>25</v>
      </c>
      <c r="K405" s="85" t="s">
        <v>59</v>
      </c>
      <c r="L405" s="29">
        <v>8</v>
      </c>
      <c r="M405" s="87">
        <f>H405*10000*0.25</f>
      </c>
      <c r="N405" s="87">
        <f>M405*L405</f>
      </c>
      <c r="O405" s="87">
        <f>M405*2</f>
      </c>
      <c r="P405" s="87">
        <f>M405*6*0.8</f>
      </c>
      <c r="Q405" s="87">
        <f>P405/70</f>
      </c>
      <c r="R405" s="87">
        <f>Q405*4</f>
      </c>
      <c r="S405" s="13"/>
      <c r="T405" s="13"/>
      <c r="U405" s="13"/>
      <c r="V405" s="18"/>
      <c r="W405" s="13"/>
    </row>
    <row x14ac:dyDescent="0.25" r="406" customHeight="1" ht="55.5">
      <c r="A406" s="84">
        <v>23</v>
      </c>
      <c r="B406" s="85" t="s">
        <v>1333</v>
      </c>
      <c r="C406" s="85" t="s">
        <v>1392</v>
      </c>
      <c r="D406" s="85" t="s">
        <v>1362</v>
      </c>
      <c r="E406" s="85" t="s">
        <v>570</v>
      </c>
      <c r="F406" s="85" t="s">
        <v>1335</v>
      </c>
      <c r="G406" s="85" t="s">
        <v>23</v>
      </c>
      <c r="H406" s="86">
        <v>1.2</v>
      </c>
      <c r="I406" s="85" t="s">
        <v>1393</v>
      </c>
      <c r="J406" s="85" t="s">
        <v>25</v>
      </c>
      <c r="K406" s="85" t="s">
        <v>48</v>
      </c>
      <c r="L406" s="89">
        <v>5</v>
      </c>
      <c r="M406" s="87">
        <f>H406*10000*0.25</f>
      </c>
      <c r="N406" s="87">
        <f>M406*L406</f>
      </c>
      <c r="O406" s="87">
        <f>M406*0</f>
      </c>
      <c r="P406" s="87">
        <f>M406*5*0.8</f>
      </c>
      <c r="Q406" s="87">
        <f>P406/70</f>
      </c>
      <c r="R406" s="87">
        <f>Q406*4</f>
      </c>
      <c r="S406" s="13"/>
      <c r="T406" s="13"/>
      <c r="U406" s="13"/>
      <c r="V406" s="18"/>
      <c r="W406" s="13"/>
    </row>
    <row x14ac:dyDescent="0.25" r="407" customHeight="1" ht="18.75">
      <c r="A407" s="84">
        <v>24</v>
      </c>
      <c r="B407" s="85" t="s">
        <v>1333</v>
      </c>
      <c r="C407" s="85" t="s">
        <v>1392</v>
      </c>
      <c r="D407" s="85" t="s">
        <v>1394</v>
      </c>
      <c r="E407" s="85" t="s">
        <v>1000</v>
      </c>
      <c r="F407" s="85" t="s">
        <v>1351</v>
      </c>
      <c r="G407" s="85" t="s">
        <v>30</v>
      </c>
      <c r="H407" s="86">
        <v>0.5</v>
      </c>
      <c r="I407" s="85" t="s">
        <v>1395</v>
      </c>
      <c r="J407" s="85" t="s">
        <v>25</v>
      </c>
      <c r="K407" s="85" t="s">
        <v>48</v>
      </c>
      <c r="L407" s="29">
        <v>5</v>
      </c>
      <c r="M407" s="87">
        <f>H407*10000*0.25</f>
      </c>
      <c r="N407" s="87">
        <f>M407*L407</f>
      </c>
      <c r="O407" s="87">
        <f>M407*L407</f>
      </c>
      <c r="P407" s="87">
        <v>0</v>
      </c>
      <c r="Q407" s="87">
        <f>P407/70</f>
      </c>
      <c r="R407" s="87">
        <f>Q407*4</f>
      </c>
      <c r="S407" s="13"/>
      <c r="T407" s="13"/>
      <c r="U407" s="13"/>
      <c r="V407" s="18"/>
      <c r="W407" s="13"/>
    </row>
    <row x14ac:dyDescent="0.25" r="408" customHeight="1" ht="18.75">
      <c r="A408" s="84">
        <v>25</v>
      </c>
      <c r="B408" s="85" t="s">
        <v>1333</v>
      </c>
      <c r="C408" s="85" t="s">
        <v>1396</v>
      </c>
      <c r="D408" s="85" t="s">
        <v>1337</v>
      </c>
      <c r="E408" s="85" t="s">
        <v>1274</v>
      </c>
      <c r="F408" s="85" t="s">
        <v>1351</v>
      </c>
      <c r="G408" s="85" t="s">
        <v>30</v>
      </c>
      <c r="H408" s="86">
        <v>0.1</v>
      </c>
      <c r="I408" s="85" t="s">
        <v>1397</v>
      </c>
      <c r="J408" s="85" t="s">
        <v>25</v>
      </c>
      <c r="K408" s="85" t="s">
        <v>48</v>
      </c>
      <c r="L408" s="29">
        <v>2</v>
      </c>
      <c r="M408" s="87">
        <f>H408*10000*0.25</f>
      </c>
      <c r="N408" s="87">
        <f>M408*L408</f>
      </c>
      <c r="O408" s="87">
        <f>M408*L408</f>
      </c>
      <c r="P408" s="87">
        <v>0</v>
      </c>
      <c r="Q408" s="87">
        <f>P408/70</f>
      </c>
      <c r="R408" s="87">
        <f>Q408*4</f>
      </c>
      <c r="S408" s="13"/>
      <c r="T408" s="13"/>
      <c r="U408" s="13"/>
      <c r="V408" s="18"/>
      <c r="W408" s="13"/>
    </row>
    <row x14ac:dyDescent="0.25" r="409" customHeight="1" ht="18.75">
      <c r="A409" s="84">
        <v>26</v>
      </c>
      <c r="B409" s="85" t="s">
        <v>1333</v>
      </c>
      <c r="C409" s="85" t="s">
        <v>1392</v>
      </c>
      <c r="D409" s="85" t="s">
        <v>1362</v>
      </c>
      <c r="E409" s="85" t="s">
        <v>570</v>
      </c>
      <c r="F409" s="85" t="s">
        <v>1335</v>
      </c>
      <c r="G409" s="85" t="s">
        <v>23</v>
      </c>
      <c r="H409" s="86">
        <v>1.2</v>
      </c>
      <c r="I409" s="85" t="s">
        <v>1393</v>
      </c>
      <c r="J409" s="85" t="s">
        <v>25</v>
      </c>
      <c r="K409" s="85" t="s">
        <v>48</v>
      </c>
      <c r="L409" s="29">
        <v>4</v>
      </c>
      <c r="M409" s="87">
        <f>H409*10000*0.25</f>
      </c>
      <c r="N409" s="87">
        <f>M409*L409</f>
      </c>
      <c r="O409" s="87">
        <f>M409*0</f>
      </c>
      <c r="P409" s="87">
        <f>M409*4*0.8</f>
      </c>
      <c r="Q409" s="87">
        <f>P409/70</f>
      </c>
      <c r="R409" s="87">
        <f>Q409*4</f>
      </c>
      <c r="S409" s="13"/>
      <c r="T409" s="13"/>
      <c r="U409" s="13"/>
      <c r="V409" s="18"/>
      <c r="W409" s="13"/>
    </row>
    <row x14ac:dyDescent="0.25" r="410" customHeight="1" ht="18.75">
      <c r="A410" s="84">
        <v>27</v>
      </c>
      <c r="B410" s="85" t="s">
        <v>1333</v>
      </c>
      <c r="C410" s="85" t="s">
        <v>1392</v>
      </c>
      <c r="D410" s="85" t="s">
        <v>1354</v>
      </c>
      <c r="E410" s="85" t="s">
        <v>553</v>
      </c>
      <c r="F410" s="85" t="s">
        <v>1335</v>
      </c>
      <c r="G410" s="85" t="s">
        <v>23</v>
      </c>
      <c r="H410" s="84">
        <v>2</v>
      </c>
      <c r="I410" s="85" t="s">
        <v>1398</v>
      </c>
      <c r="J410" s="85" t="s">
        <v>25</v>
      </c>
      <c r="K410" s="85" t="s">
        <v>59</v>
      </c>
      <c r="L410" s="29">
        <v>2</v>
      </c>
      <c r="M410" s="87">
        <f>H410*10000*0.25</f>
      </c>
      <c r="N410" s="87">
        <f>M410*L410</f>
      </c>
      <c r="O410" s="87">
        <f>M410*0</f>
      </c>
      <c r="P410" s="87">
        <f>M410*2*0.8</f>
      </c>
      <c r="Q410" s="87">
        <f>P410/70</f>
      </c>
      <c r="R410" s="87">
        <f>Q410*4</f>
      </c>
      <c r="S410" s="13"/>
      <c r="T410" s="13"/>
      <c r="U410" s="13"/>
      <c r="V410" s="18"/>
      <c r="W410" s="13"/>
    </row>
    <row x14ac:dyDescent="0.25" r="411" customHeight="1" ht="18.75">
      <c r="A411" s="84">
        <v>28</v>
      </c>
      <c r="B411" s="85" t="s">
        <v>1333</v>
      </c>
      <c r="C411" s="85" t="s">
        <v>1392</v>
      </c>
      <c r="D411" s="85" t="s">
        <v>1354</v>
      </c>
      <c r="E411" s="85" t="s">
        <v>570</v>
      </c>
      <c r="F411" s="85" t="s">
        <v>1363</v>
      </c>
      <c r="G411" s="85" t="s">
        <v>104</v>
      </c>
      <c r="H411" s="86">
        <v>0.05</v>
      </c>
      <c r="I411" s="85" t="s">
        <v>1399</v>
      </c>
      <c r="J411" s="85" t="s">
        <v>25</v>
      </c>
      <c r="K411" s="85" t="s">
        <v>48</v>
      </c>
      <c r="L411" s="29">
        <v>5</v>
      </c>
      <c r="M411" s="87">
        <f>H411*10000</f>
      </c>
      <c r="N411" s="87">
        <f>M411*L411</f>
      </c>
      <c r="O411" s="87">
        <f>M411*L411</f>
      </c>
      <c r="P411" s="87">
        <v>0</v>
      </c>
      <c r="Q411" s="87">
        <f>P411/70</f>
      </c>
      <c r="R411" s="87">
        <f>Q411*4</f>
      </c>
      <c r="S411" s="13"/>
      <c r="T411" s="13"/>
      <c r="U411" s="13"/>
      <c r="V411" s="18"/>
      <c r="W411" s="13"/>
    </row>
    <row x14ac:dyDescent="0.25" r="412" customHeight="1" ht="18.75">
      <c r="A412" s="84">
        <v>29</v>
      </c>
      <c r="B412" s="85" t="s">
        <v>1333</v>
      </c>
      <c r="C412" s="85" t="s">
        <v>1392</v>
      </c>
      <c r="D412" s="85" t="s">
        <v>553</v>
      </c>
      <c r="E412" s="85" t="s">
        <v>564</v>
      </c>
      <c r="F412" s="85" t="s">
        <v>1335</v>
      </c>
      <c r="G412" s="85" t="s">
        <v>23</v>
      </c>
      <c r="H412" s="86">
        <v>2.1</v>
      </c>
      <c r="I412" s="85" t="s">
        <v>1400</v>
      </c>
      <c r="J412" s="85" t="s">
        <v>25</v>
      </c>
      <c r="K412" s="85" t="s">
        <v>59</v>
      </c>
      <c r="L412" s="29">
        <v>4</v>
      </c>
      <c r="M412" s="87">
        <f>H412*10000*0.25</f>
      </c>
      <c r="N412" s="87">
        <f>M412*L412</f>
      </c>
      <c r="O412" s="87">
        <f>M412*0</f>
      </c>
      <c r="P412" s="87">
        <f>M412*4*0.8</f>
      </c>
      <c r="Q412" s="87">
        <f>P412/70</f>
      </c>
      <c r="R412" s="87">
        <f>Q412*4</f>
      </c>
      <c r="S412" s="13"/>
      <c r="T412" s="13"/>
      <c r="U412" s="13"/>
      <c r="V412" s="18"/>
      <c r="W412" s="13"/>
    </row>
    <row x14ac:dyDescent="0.25" r="413" customHeight="1" ht="18.75">
      <c r="A413" s="84">
        <v>30</v>
      </c>
      <c r="B413" s="85" t="s">
        <v>1333</v>
      </c>
      <c r="C413" s="85" t="s">
        <v>1401</v>
      </c>
      <c r="D413" s="85" t="s">
        <v>553</v>
      </c>
      <c r="E413" s="85" t="s">
        <v>564</v>
      </c>
      <c r="F413" s="85" t="s">
        <v>1335</v>
      </c>
      <c r="G413" s="85" t="s">
        <v>23</v>
      </c>
      <c r="H413" s="86">
        <v>6.6</v>
      </c>
      <c r="I413" s="85" t="s">
        <v>1402</v>
      </c>
      <c r="J413" s="85" t="s">
        <v>25</v>
      </c>
      <c r="K413" s="85" t="s">
        <v>59</v>
      </c>
      <c r="L413" s="90">
        <v>3.5</v>
      </c>
      <c r="M413" s="87">
        <f>H413*10000*0.25</f>
      </c>
      <c r="N413" s="87">
        <f>M413*L413</f>
      </c>
      <c r="O413" s="87">
        <f>M413*1</f>
      </c>
      <c r="P413" s="87">
        <f>M413*2.5*0.8</f>
      </c>
      <c r="Q413" s="87">
        <f>P413/70</f>
      </c>
      <c r="R413" s="87">
        <f>Q413*4</f>
      </c>
      <c r="S413" s="13"/>
      <c r="T413" s="13"/>
      <c r="U413" s="13"/>
      <c r="V413" s="18"/>
      <c r="W413" s="13"/>
    </row>
    <row x14ac:dyDescent="0.25" r="414" customHeight="1" ht="18.75">
      <c r="A414" s="84">
        <v>31</v>
      </c>
      <c r="B414" s="85" t="s">
        <v>1333</v>
      </c>
      <c r="C414" s="85" t="s">
        <v>1403</v>
      </c>
      <c r="D414" s="85" t="s">
        <v>1337</v>
      </c>
      <c r="E414" s="85" t="s">
        <v>553</v>
      </c>
      <c r="F414" s="85" t="s">
        <v>1351</v>
      </c>
      <c r="G414" s="85" t="s">
        <v>30</v>
      </c>
      <c r="H414" s="86">
        <v>0.5</v>
      </c>
      <c r="I414" s="85" t="s">
        <v>1404</v>
      </c>
      <c r="J414" s="85" t="s">
        <v>32</v>
      </c>
      <c r="K414" s="85" t="s">
        <v>1345</v>
      </c>
      <c r="L414" s="29">
        <v>3</v>
      </c>
      <c r="M414" s="87">
        <f>H414*10000*0.25</f>
      </c>
      <c r="N414" s="87">
        <f>M414*L414</f>
      </c>
      <c r="O414" s="87">
        <f>M414*L414</f>
      </c>
      <c r="P414" s="87">
        <v>0</v>
      </c>
      <c r="Q414" s="87">
        <f>P414/70</f>
      </c>
      <c r="R414" s="87">
        <f>Q414*4</f>
      </c>
      <c r="S414" s="13"/>
      <c r="T414" s="13"/>
      <c r="U414" s="13"/>
      <c r="V414" s="18"/>
      <c r="W414" s="13"/>
    </row>
    <row x14ac:dyDescent="0.25" r="415" customHeight="1" ht="18.75">
      <c r="A415" s="84">
        <v>32</v>
      </c>
      <c r="B415" s="85" t="s">
        <v>1333</v>
      </c>
      <c r="C415" s="85" t="s">
        <v>1405</v>
      </c>
      <c r="D415" s="85" t="s">
        <v>1362</v>
      </c>
      <c r="E415" s="85" t="s">
        <v>553</v>
      </c>
      <c r="F415" s="85" t="s">
        <v>1406</v>
      </c>
      <c r="G415" s="85" t="s">
        <v>23</v>
      </c>
      <c r="H415" s="86">
        <v>0.4</v>
      </c>
      <c r="I415" s="85" t="s">
        <v>1407</v>
      </c>
      <c r="J415" s="85" t="s">
        <v>32</v>
      </c>
      <c r="K415" s="85" t="s">
        <v>48</v>
      </c>
      <c r="L415" s="29">
        <v>3</v>
      </c>
      <c r="M415" s="87">
        <f>H415*10000*0.25</f>
      </c>
      <c r="N415" s="87">
        <f>M415*L415</f>
      </c>
      <c r="O415" s="87">
        <f>M415*1</f>
      </c>
      <c r="P415" s="87">
        <f>M415*2*0.8</f>
      </c>
      <c r="Q415" s="87">
        <f>P415/70</f>
      </c>
      <c r="R415" s="87">
        <f>Q415*4</f>
      </c>
      <c r="S415" s="13"/>
      <c r="T415" s="13"/>
      <c r="U415" s="13"/>
      <c r="V415" s="18"/>
      <c r="W415" s="13"/>
    </row>
    <row x14ac:dyDescent="0.25" r="416" customHeight="1" ht="18.75">
      <c r="A416" s="84">
        <v>33</v>
      </c>
      <c r="B416" s="85" t="s">
        <v>1333</v>
      </c>
      <c r="C416" s="85" t="s">
        <v>1341</v>
      </c>
      <c r="D416" s="85" t="s">
        <v>564</v>
      </c>
      <c r="E416" s="85" t="s">
        <v>898</v>
      </c>
      <c r="F416" s="85" t="s">
        <v>1335</v>
      </c>
      <c r="G416" s="85" t="s">
        <v>23</v>
      </c>
      <c r="H416" s="86">
        <v>0.2132</v>
      </c>
      <c r="I416" s="85" t="s">
        <v>1408</v>
      </c>
      <c r="J416" s="85" t="s">
        <v>25</v>
      </c>
      <c r="K416" s="85" t="s">
        <v>48</v>
      </c>
      <c r="L416" s="29">
        <v>10</v>
      </c>
      <c r="M416" s="87">
        <f>H416*10000*0.25</f>
      </c>
      <c r="N416" s="87">
        <f>M416*L416</f>
      </c>
      <c r="O416" s="87">
        <f>M416*2</f>
      </c>
      <c r="P416" s="87">
        <f>M416*8*0.8</f>
      </c>
      <c r="Q416" s="87">
        <f>P416/70</f>
      </c>
      <c r="R416" s="87">
        <f>Q416*4</f>
      </c>
      <c r="S416" s="13"/>
      <c r="T416" s="13"/>
      <c r="U416" s="13"/>
      <c r="V416" s="18"/>
      <c r="W416" s="13"/>
    </row>
    <row x14ac:dyDescent="0.25" r="417" customHeight="1" ht="18.75">
      <c r="A417" s="91">
        <v>1</v>
      </c>
      <c r="B417" s="92" t="s">
        <v>1409</v>
      </c>
      <c r="C417" s="92" t="s">
        <v>1410</v>
      </c>
      <c r="D417" s="92" t="s">
        <v>1411</v>
      </c>
      <c r="E417" s="92" t="s">
        <v>1412</v>
      </c>
      <c r="F417" s="92" t="s">
        <v>1413</v>
      </c>
      <c r="G417" s="92" t="s">
        <v>23</v>
      </c>
      <c r="H417" s="91">
        <v>15</v>
      </c>
      <c r="I417" s="92" t="s">
        <v>1414</v>
      </c>
      <c r="J417" s="92" t="s">
        <v>32</v>
      </c>
      <c r="K417" s="92" t="s">
        <v>48</v>
      </c>
      <c r="L417" s="29">
        <v>15</v>
      </c>
      <c r="M417" s="93">
        <f>H417*10000*0.25</f>
      </c>
      <c r="N417" s="93">
        <f>M417*L417</f>
      </c>
      <c r="O417" s="93">
        <f>M417*2</f>
      </c>
      <c r="P417" s="93">
        <f>M417*13*0.8</f>
      </c>
      <c r="Q417" s="93">
        <f>P417/70</f>
      </c>
      <c r="R417" s="93">
        <f>Q417*4</f>
      </c>
      <c r="S417" s="13"/>
      <c r="T417" s="13"/>
      <c r="U417" s="13"/>
      <c r="V417" s="18"/>
      <c r="W417" s="13"/>
    </row>
    <row x14ac:dyDescent="0.25" r="418" customHeight="1" ht="18.75">
      <c r="A418" s="91">
        <v>2</v>
      </c>
      <c r="B418" s="92" t="s">
        <v>1409</v>
      </c>
      <c r="C418" s="92" t="s">
        <v>1415</v>
      </c>
      <c r="D418" s="92" t="s">
        <v>1416</v>
      </c>
      <c r="E418" s="92" t="s">
        <v>1417</v>
      </c>
      <c r="F418" s="92" t="s">
        <v>1418</v>
      </c>
      <c r="G418" s="92" t="s">
        <v>23</v>
      </c>
      <c r="H418" s="94">
        <v>58.5</v>
      </c>
      <c r="I418" s="92" t="s">
        <v>1419</v>
      </c>
      <c r="J418" s="92" t="s">
        <v>32</v>
      </c>
      <c r="K418" s="92" t="s">
        <v>48</v>
      </c>
      <c r="L418" s="29">
        <v>15</v>
      </c>
      <c r="M418" s="93">
        <f>H418*10000*0.25</f>
      </c>
      <c r="N418" s="93">
        <f>M418*L418</f>
      </c>
      <c r="O418" s="93">
        <f>M418*2</f>
      </c>
      <c r="P418" s="93">
        <f>M418*13*0.8</f>
      </c>
      <c r="Q418" s="93">
        <f>P418/70</f>
      </c>
      <c r="R418" s="93">
        <f>Q418*4</f>
      </c>
      <c r="S418" s="13"/>
      <c r="T418" s="13"/>
      <c r="U418" s="13"/>
      <c r="V418" s="18"/>
      <c r="W418" s="13"/>
    </row>
    <row x14ac:dyDescent="0.25" r="419" customHeight="1" ht="18.75">
      <c r="A419" s="91">
        <v>3</v>
      </c>
      <c r="B419" s="92" t="s">
        <v>1409</v>
      </c>
      <c r="C419" s="92" t="s">
        <v>1420</v>
      </c>
      <c r="D419" s="92" t="s">
        <v>1411</v>
      </c>
      <c r="E419" s="92" t="s">
        <v>1421</v>
      </c>
      <c r="F419" s="92" t="s">
        <v>1418</v>
      </c>
      <c r="G419" s="92" t="s">
        <v>23</v>
      </c>
      <c r="H419" s="94">
        <v>2.3</v>
      </c>
      <c r="I419" s="92" t="s">
        <v>1422</v>
      </c>
      <c r="J419" s="92" t="s">
        <v>32</v>
      </c>
      <c r="K419" s="92" t="s">
        <v>48</v>
      </c>
      <c r="L419" s="29">
        <v>12</v>
      </c>
      <c r="M419" s="93">
        <f>H419*10000*0.25</f>
      </c>
      <c r="N419" s="93">
        <f>M419*L419</f>
      </c>
      <c r="O419" s="93">
        <f>M419*2</f>
      </c>
      <c r="P419" s="93">
        <f>M419*10*0.8</f>
      </c>
      <c r="Q419" s="93">
        <f>P419/70</f>
      </c>
      <c r="R419" s="93">
        <f>Q419*4</f>
      </c>
      <c r="S419" s="13"/>
      <c r="T419" s="13"/>
      <c r="U419" s="13"/>
      <c r="V419" s="18"/>
      <c r="W419" s="13"/>
    </row>
    <row x14ac:dyDescent="0.25" r="420" customHeight="1" ht="18.75">
      <c r="A420" s="91">
        <v>4</v>
      </c>
      <c r="B420" s="92" t="s">
        <v>1409</v>
      </c>
      <c r="C420" s="92" t="s">
        <v>1423</v>
      </c>
      <c r="D420" s="92" t="s">
        <v>1424</v>
      </c>
      <c r="E420" s="92" t="s">
        <v>1425</v>
      </c>
      <c r="F420" s="92" t="s">
        <v>1426</v>
      </c>
      <c r="G420" s="92" t="s">
        <v>23</v>
      </c>
      <c r="H420" s="94">
        <v>1.7</v>
      </c>
      <c r="I420" s="92" t="s">
        <v>1427</v>
      </c>
      <c r="J420" s="92" t="s">
        <v>32</v>
      </c>
      <c r="K420" s="92" t="s">
        <v>48</v>
      </c>
      <c r="L420" s="29">
        <v>15</v>
      </c>
      <c r="M420" s="93">
        <f>H420*10000*0.25</f>
      </c>
      <c r="N420" s="93">
        <f>M420*L420</f>
      </c>
      <c r="O420" s="93">
        <f>M420*2</f>
      </c>
      <c r="P420" s="93">
        <f>M420*13*0.8</f>
      </c>
      <c r="Q420" s="93">
        <f>P420/70</f>
      </c>
      <c r="R420" s="93">
        <f>Q420*4</f>
      </c>
      <c r="S420" s="13"/>
      <c r="T420" s="13"/>
      <c r="U420" s="13"/>
      <c r="V420" s="18"/>
      <c r="W420" s="13"/>
    </row>
    <row x14ac:dyDescent="0.25" r="421" customHeight="1" ht="18.75">
      <c r="A421" s="91">
        <v>5</v>
      </c>
      <c r="B421" s="92" t="s">
        <v>1409</v>
      </c>
      <c r="C421" s="92" t="s">
        <v>1428</v>
      </c>
      <c r="D421" s="92" t="s">
        <v>1424</v>
      </c>
      <c r="E421" s="92" t="s">
        <v>1429</v>
      </c>
      <c r="F421" s="92" t="s">
        <v>1418</v>
      </c>
      <c r="G421" s="92" t="s">
        <v>23</v>
      </c>
      <c r="H421" s="91">
        <v>2</v>
      </c>
      <c r="I421" s="92" t="s">
        <v>1430</v>
      </c>
      <c r="J421" s="92" t="s">
        <v>32</v>
      </c>
      <c r="K421" s="92" t="s">
        <v>59</v>
      </c>
      <c r="L421" s="29">
        <v>16</v>
      </c>
      <c r="M421" s="93">
        <f>H421*10000*0.25</f>
      </c>
      <c r="N421" s="93">
        <f>M421*L421</f>
      </c>
      <c r="O421" s="93">
        <f>M421*3</f>
      </c>
      <c r="P421" s="93">
        <f>M421*13*0.8</f>
      </c>
      <c r="Q421" s="93">
        <f>P421/70</f>
      </c>
      <c r="R421" s="93">
        <f>Q421*4</f>
      </c>
      <c r="S421" s="13"/>
      <c r="T421" s="13"/>
      <c r="U421" s="13"/>
      <c r="V421" s="18"/>
      <c r="W421" s="13"/>
    </row>
    <row x14ac:dyDescent="0.25" r="422" customHeight="1" ht="18.75">
      <c r="A422" s="91">
        <v>6</v>
      </c>
      <c r="B422" s="92" t="s">
        <v>1409</v>
      </c>
      <c r="C422" s="92" t="s">
        <v>1431</v>
      </c>
      <c r="D422" s="92" t="s">
        <v>1424</v>
      </c>
      <c r="E422" s="92" t="s">
        <v>1421</v>
      </c>
      <c r="F422" s="92" t="s">
        <v>1432</v>
      </c>
      <c r="G422" s="92" t="s">
        <v>23</v>
      </c>
      <c r="H422" s="91">
        <v>2</v>
      </c>
      <c r="I422" s="92" t="s">
        <v>1433</v>
      </c>
      <c r="J422" s="92" t="s">
        <v>32</v>
      </c>
      <c r="K422" s="92" t="s">
        <v>48</v>
      </c>
      <c r="L422" s="29">
        <v>15</v>
      </c>
      <c r="M422" s="93">
        <f>H422*10000*0.25</f>
      </c>
      <c r="N422" s="93">
        <f>M422*L422</f>
      </c>
      <c r="O422" s="93">
        <f>M422*2</f>
      </c>
      <c r="P422" s="93">
        <f>M422*13*0.8</f>
      </c>
      <c r="Q422" s="93">
        <f>P422/70</f>
      </c>
      <c r="R422" s="93">
        <f>Q422*4</f>
      </c>
      <c r="S422" s="13"/>
      <c r="T422" s="13"/>
      <c r="U422" s="13"/>
      <c r="V422" s="18"/>
      <c r="W422" s="13"/>
    </row>
    <row x14ac:dyDescent="0.25" r="423" customHeight="1" ht="18.75">
      <c r="A423" s="91">
        <v>7</v>
      </c>
      <c r="B423" s="92" t="s">
        <v>1409</v>
      </c>
      <c r="C423" s="92" t="s">
        <v>1434</v>
      </c>
      <c r="D423" s="92" t="s">
        <v>1435</v>
      </c>
      <c r="E423" s="92" t="s">
        <v>1436</v>
      </c>
      <c r="F423" s="92" t="s">
        <v>1418</v>
      </c>
      <c r="G423" s="92" t="s">
        <v>23</v>
      </c>
      <c r="H423" s="94">
        <v>0.8</v>
      </c>
      <c r="I423" s="92" t="s">
        <v>1437</v>
      </c>
      <c r="J423" s="92" t="s">
        <v>32</v>
      </c>
      <c r="K423" s="92" t="s">
        <v>48</v>
      </c>
      <c r="L423" s="29">
        <v>30</v>
      </c>
      <c r="M423" s="93">
        <f>H423*10000*0.25</f>
      </c>
      <c r="N423" s="93">
        <f>M423*L423</f>
      </c>
      <c r="O423" s="93">
        <f>M423*10</f>
      </c>
      <c r="P423" s="93">
        <f>M423*20*0.8</f>
      </c>
      <c r="Q423" s="93">
        <f>P423/70</f>
      </c>
      <c r="R423" s="93">
        <f>Q423*4</f>
      </c>
      <c r="S423" s="13"/>
      <c r="T423" s="13"/>
      <c r="U423" s="13"/>
      <c r="V423" s="18"/>
      <c r="W423" s="13"/>
    </row>
    <row x14ac:dyDescent="0.25" r="424" customHeight="1" ht="18.75">
      <c r="A424" s="91">
        <v>8</v>
      </c>
      <c r="B424" s="92" t="s">
        <v>1409</v>
      </c>
      <c r="C424" s="92" t="s">
        <v>1438</v>
      </c>
      <c r="D424" s="92" t="s">
        <v>1439</v>
      </c>
      <c r="E424" s="92" t="s">
        <v>1440</v>
      </c>
      <c r="F424" s="92" t="s">
        <v>1413</v>
      </c>
      <c r="G424" s="92" t="s">
        <v>23</v>
      </c>
      <c r="H424" s="94">
        <v>4.5</v>
      </c>
      <c r="I424" s="92" t="s">
        <v>1441</v>
      </c>
      <c r="J424" s="92" t="s">
        <v>32</v>
      </c>
      <c r="K424" s="92" t="s">
        <v>59</v>
      </c>
      <c r="L424" s="29">
        <v>12</v>
      </c>
      <c r="M424" s="93">
        <f>H424*10000*0.25</f>
      </c>
      <c r="N424" s="93">
        <f>M424*L424</f>
      </c>
      <c r="O424" s="93">
        <f>M424*2</f>
      </c>
      <c r="P424" s="93">
        <f>M424*10*0.8</f>
      </c>
      <c r="Q424" s="93">
        <f>P424/70</f>
      </c>
      <c r="R424" s="93">
        <f>Q424*4</f>
      </c>
      <c r="S424" s="13"/>
      <c r="T424" s="13"/>
      <c r="U424" s="13"/>
      <c r="V424" s="18"/>
      <c r="W424" s="13"/>
    </row>
    <row x14ac:dyDescent="0.25" r="425" customHeight="1" ht="18.75">
      <c r="A425" s="91">
        <v>9</v>
      </c>
      <c r="B425" s="92" t="s">
        <v>1409</v>
      </c>
      <c r="C425" s="92" t="s">
        <v>1442</v>
      </c>
      <c r="D425" s="92" t="s">
        <v>1443</v>
      </c>
      <c r="E425" s="92" t="s">
        <v>1440</v>
      </c>
      <c r="F425" s="92" t="s">
        <v>1444</v>
      </c>
      <c r="G425" s="92" t="s">
        <v>23</v>
      </c>
      <c r="H425" s="94">
        <v>10.5</v>
      </c>
      <c r="I425" s="92" t="s">
        <v>1445</v>
      </c>
      <c r="J425" s="92" t="s">
        <v>32</v>
      </c>
      <c r="K425" s="92" t="s">
        <v>59</v>
      </c>
      <c r="L425" s="29">
        <v>10</v>
      </c>
      <c r="M425" s="93">
        <f>H425*10000*0.25</f>
      </c>
      <c r="N425" s="93">
        <f>M425*L425</f>
      </c>
      <c r="O425" s="93">
        <f>M425*2</f>
      </c>
      <c r="P425" s="93">
        <f>M425*8*0.8</f>
      </c>
      <c r="Q425" s="93">
        <f>P425/70</f>
      </c>
      <c r="R425" s="93">
        <f>Q425*4</f>
      </c>
      <c r="S425" s="13"/>
      <c r="T425" s="13"/>
      <c r="U425" s="13"/>
      <c r="V425" s="18"/>
      <c r="W425" s="13"/>
    </row>
    <row x14ac:dyDescent="0.25" r="426" customHeight="1" ht="18.75">
      <c r="A426" s="91">
        <v>10</v>
      </c>
      <c r="B426" s="92" t="s">
        <v>1409</v>
      </c>
      <c r="C426" s="92" t="s">
        <v>1446</v>
      </c>
      <c r="D426" s="92" t="s">
        <v>1447</v>
      </c>
      <c r="E426" s="92" t="s">
        <v>1448</v>
      </c>
      <c r="F426" s="92" t="s">
        <v>1449</v>
      </c>
      <c r="G426" s="92" t="s">
        <v>23</v>
      </c>
      <c r="H426" s="91">
        <v>10</v>
      </c>
      <c r="I426" s="92" t="s">
        <v>1450</v>
      </c>
      <c r="J426" s="92" t="s">
        <v>25</v>
      </c>
      <c r="K426" s="92" t="s">
        <v>48</v>
      </c>
      <c r="L426" s="29">
        <v>12</v>
      </c>
      <c r="M426" s="93">
        <f>H426*10000*0.25</f>
      </c>
      <c r="N426" s="93">
        <f>M426*L426</f>
      </c>
      <c r="O426" s="93">
        <f>M426*2</f>
      </c>
      <c r="P426" s="93">
        <f>M426*10*0.8</f>
      </c>
      <c r="Q426" s="93">
        <f>P426/70</f>
      </c>
      <c r="R426" s="93">
        <f>Q426*4</f>
      </c>
      <c r="S426" s="13"/>
      <c r="T426" s="13"/>
      <c r="U426" s="13"/>
      <c r="V426" s="18"/>
      <c r="W426" s="13"/>
    </row>
    <row x14ac:dyDescent="0.25" r="427" customHeight="1" ht="18.75">
      <c r="A427" s="91">
        <v>11</v>
      </c>
      <c r="B427" s="92" t="s">
        <v>1409</v>
      </c>
      <c r="C427" s="92" t="s">
        <v>1451</v>
      </c>
      <c r="D427" s="92" t="s">
        <v>1447</v>
      </c>
      <c r="E427" s="92" t="s">
        <v>1452</v>
      </c>
      <c r="F427" s="92" t="s">
        <v>1418</v>
      </c>
      <c r="G427" s="92" t="s">
        <v>23</v>
      </c>
      <c r="H427" s="91">
        <v>5</v>
      </c>
      <c r="I427" s="92" t="s">
        <v>1453</v>
      </c>
      <c r="J427" s="92" t="s">
        <v>25</v>
      </c>
      <c r="K427" s="92" t="s">
        <v>48</v>
      </c>
      <c r="L427" s="29">
        <v>12</v>
      </c>
      <c r="M427" s="93">
        <f>H427*10000*0.25</f>
      </c>
      <c r="N427" s="93">
        <f>M427*L427</f>
      </c>
      <c r="O427" s="93">
        <f>M427*2</f>
      </c>
      <c r="P427" s="93">
        <f>M427*10*0.8</f>
      </c>
      <c r="Q427" s="93">
        <f>P427/70</f>
      </c>
      <c r="R427" s="93">
        <f>Q427*4</f>
      </c>
      <c r="S427" s="13"/>
      <c r="T427" s="13"/>
      <c r="U427" s="13"/>
      <c r="V427" s="18"/>
      <c r="W427" s="13"/>
    </row>
    <row x14ac:dyDescent="0.25" r="428" customHeight="1" ht="18.75">
      <c r="A428" s="91">
        <v>12</v>
      </c>
      <c r="B428" s="92" t="s">
        <v>1409</v>
      </c>
      <c r="C428" s="92" t="s">
        <v>1454</v>
      </c>
      <c r="D428" s="92" t="s">
        <v>1443</v>
      </c>
      <c r="E428" s="92" t="s">
        <v>1448</v>
      </c>
      <c r="F428" s="92" t="s">
        <v>1418</v>
      </c>
      <c r="G428" s="92" t="s">
        <v>23</v>
      </c>
      <c r="H428" s="91">
        <v>15</v>
      </c>
      <c r="I428" s="92" t="s">
        <v>1455</v>
      </c>
      <c r="J428" s="92" t="s">
        <v>32</v>
      </c>
      <c r="K428" s="92" t="s">
        <v>48</v>
      </c>
      <c r="L428" s="29">
        <v>12</v>
      </c>
      <c r="M428" s="93">
        <f>H428*10000*0.25</f>
      </c>
      <c r="N428" s="93">
        <f>M428*L428</f>
      </c>
      <c r="O428" s="93">
        <f>M428*2</f>
      </c>
      <c r="P428" s="93">
        <f>M428*10*0.8</f>
      </c>
      <c r="Q428" s="93">
        <f>P428/70</f>
      </c>
      <c r="R428" s="93">
        <f>Q428*4</f>
      </c>
      <c r="S428" s="13"/>
      <c r="T428" s="13"/>
      <c r="U428" s="13"/>
      <c r="V428" s="18"/>
      <c r="W428" s="13"/>
    </row>
    <row x14ac:dyDescent="0.25" r="429" customHeight="1" ht="18.75">
      <c r="A429" s="91">
        <v>13</v>
      </c>
      <c r="B429" s="92" t="s">
        <v>1409</v>
      </c>
      <c r="C429" s="92" t="s">
        <v>1456</v>
      </c>
      <c r="D429" s="92" t="s">
        <v>1411</v>
      </c>
      <c r="E429" s="92" t="s">
        <v>1457</v>
      </c>
      <c r="F429" s="92" t="s">
        <v>1413</v>
      </c>
      <c r="G429" s="92" t="s">
        <v>23</v>
      </c>
      <c r="H429" s="94">
        <v>22.5</v>
      </c>
      <c r="I429" s="92" t="s">
        <v>1458</v>
      </c>
      <c r="J429" s="92" t="s">
        <v>32</v>
      </c>
      <c r="K429" s="92" t="s">
        <v>48</v>
      </c>
      <c r="L429" s="29">
        <v>10</v>
      </c>
      <c r="M429" s="93">
        <f>H429*10000*0.25</f>
      </c>
      <c r="N429" s="93">
        <f>M429*L429</f>
      </c>
      <c r="O429" s="93">
        <f>M429*2</f>
      </c>
      <c r="P429" s="93">
        <f>M429*8*0.8</f>
      </c>
      <c r="Q429" s="93">
        <f>P429/70</f>
      </c>
      <c r="R429" s="93">
        <f>Q429*4</f>
      </c>
      <c r="S429" s="13"/>
      <c r="T429" s="13"/>
      <c r="U429" s="13"/>
      <c r="V429" s="18"/>
      <c r="W429" s="13"/>
    </row>
    <row x14ac:dyDescent="0.25" r="430" customHeight="1" ht="18.75">
      <c r="A430" s="91">
        <v>14</v>
      </c>
      <c r="B430" s="92" t="s">
        <v>1409</v>
      </c>
      <c r="C430" s="92" t="s">
        <v>1459</v>
      </c>
      <c r="D430" s="92" t="s">
        <v>1447</v>
      </c>
      <c r="E430" s="92" t="s">
        <v>1421</v>
      </c>
      <c r="F430" s="92" t="s">
        <v>1413</v>
      </c>
      <c r="G430" s="92" t="s">
        <v>23</v>
      </c>
      <c r="H430" s="91">
        <v>11</v>
      </c>
      <c r="I430" s="92" t="s">
        <v>1460</v>
      </c>
      <c r="J430" s="92" t="s">
        <v>32</v>
      </c>
      <c r="K430" s="92" t="s">
        <v>59</v>
      </c>
      <c r="L430" s="29">
        <v>10</v>
      </c>
      <c r="M430" s="93">
        <f>H430*10000*0.25</f>
      </c>
      <c r="N430" s="93">
        <f>M430*L430</f>
      </c>
      <c r="O430" s="93">
        <f>M430*2</f>
      </c>
      <c r="P430" s="93">
        <f>M430*8*0.8</f>
      </c>
      <c r="Q430" s="93">
        <f>P430/70</f>
      </c>
      <c r="R430" s="93">
        <f>Q430*4</f>
      </c>
      <c r="S430" s="13"/>
      <c r="T430" s="13"/>
      <c r="U430" s="13"/>
      <c r="V430" s="18"/>
      <c r="W430" s="13"/>
    </row>
    <row x14ac:dyDescent="0.25" r="431" customHeight="1" ht="18.75">
      <c r="A431" s="91">
        <v>15</v>
      </c>
      <c r="B431" s="92" t="s">
        <v>1409</v>
      </c>
      <c r="C431" s="92" t="s">
        <v>1461</v>
      </c>
      <c r="D431" s="92" t="s">
        <v>1424</v>
      </c>
      <c r="E431" s="92" t="s">
        <v>1462</v>
      </c>
      <c r="F431" s="92" t="s">
        <v>1463</v>
      </c>
      <c r="G431" s="92" t="s">
        <v>23</v>
      </c>
      <c r="H431" s="94">
        <v>0.5</v>
      </c>
      <c r="I431" s="92" t="s">
        <v>1464</v>
      </c>
      <c r="J431" s="92" t="s">
        <v>32</v>
      </c>
      <c r="K431" s="92" t="s">
        <v>59</v>
      </c>
      <c r="L431" s="29">
        <v>8</v>
      </c>
      <c r="M431" s="93">
        <f>H431*10000*0.25</f>
      </c>
      <c r="N431" s="93">
        <f>M431*L431</f>
      </c>
      <c r="O431" s="93">
        <f>M431*2</f>
      </c>
      <c r="P431" s="93">
        <f>M431*6*0.8</f>
      </c>
      <c r="Q431" s="93">
        <f>P431/70</f>
      </c>
      <c r="R431" s="93">
        <f>Q431*4</f>
      </c>
      <c r="S431" s="13"/>
      <c r="T431" s="13"/>
      <c r="U431" s="13"/>
      <c r="V431" s="18"/>
      <c r="W431" s="13"/>
    </row>
    <row x14ac:dyDescent="0.25" r="432" customHeight="1" ht="18.75">
      <c r="A432" s="91">
        <v>16</v>
      </c>
      <c r="B432" s="92" t="s">
        <v>1409</v>
      </c>
      <c r="C432" s="92" t="s">
        <v>1465</v>
      </c>
      <c r="D432" s="92" t="s">
        <v>1443</v>
      </c>
      <c r="E432" s="92" t="s">
        <v>1448</v>
      </c>
      <c r="F432" s="92" t="s">
        <v>1413</v>
      </c>
      <c r="G432" s="92" t="s">
        <v>23</v>
      </c>
      <c r="H432" s="94">
        <v>0.5</v>
      </c>
      <c r="I432" s="92" t="s">
        <v>1466</v>
      </c>
      <c r="J432" s="92" t="s">
        <v>25</v>
      </c>
      <c r="K432" s="92" t="s">
        <v>48</v>
      </c>
      <c r="L432" s="29">
        <v>16</v>
      </c>
      <c r="M432" s="93">
        <f>H432*10000*0.25</f>
      </c>
      <c r="N432" s="93">
        <f>M432*L432</f>
      </c>
      <c r="O432" s="93">
        <f>M432*3</f>
      </c>
      <c r="P432" s="93">
        <f>M432*13*0.8</f>
      </c>
      <c r="Q432" s="93">
        <f>P432/70</f>
      </c>
      <c r="R432" s="93">
        <f>Q432*4</f>
      </c>
      <c r="S432" s="13"/>
      <c r="T432" s="13"/>
      <c r="U432" s="13"/>
      <c r="V432" s="18"/>
      <c r="W432" s="13"/>
    </row>
    <row x14ac:dyDescent="0.25" r="433" customHeight="1" ht="18.75">
      <c r="A433" s="91">
        <v>17</v>
      </c>
      <c r="B433" s="92" t="s">
        <v>1409</v>
      </c>
      <c r="C433" s="92" t="s">
        <v>1467</v>
      </c>
      <c r="D433" s="92" t="s">
        <v>1443</v>
      </c>
      <c r="E433" s="92" t="s">
        <v>1468</v>
      </c>
      <c r="F433" s="92" t="s">
        <v>1426</v>
      </c>
      <c r="G433" s="92" t="s">
        <v>23</v>
      </c>
      <c r="H433" s="91">
        <v>5</v>
      </c>
      <c r="I433" s="92" t="s">
        <v>1469</v>
      </c>
      <c r="J433" s="92" t="s">
        <v>25</v>
      </c>
      <c r="K433" s="92" t="s">
        <v>48</v>
      </c>
      <c r="L433" s="29">
        <v>10</v>
      </c>
      <c r="M433" s="93">
        <f>H433*10000*0.25</f>
      </c>
      <c r="N433" s="93">
        <f>M433*L433</f>
      </c>
      <c r="O433" s="93">
        <f>M433*2</f>
      </c>
      <c r="P433" s="93">
        <f>M433*8*0.8</f>
      </c>
      <c r="Q433" s="93">
        <f>P433/70</f>
      </c>
      <c r="R433" s="93">
        <f>Q433*4</f>
      </c>
      <c r="S433" s="13"/>
      <c r="T433" s="13"/>
      <c r="U433" s="13"/>
      <c r="V433" s="18"/>
      <c r="W433" s="13"/>
    </row>
    <row x14ac:dyDescent="0.25" r="434" customHeight="1" ht="18.75">
      <c r="A434" s="91">
        <v>18</v>
      </c>
      <c r="B434" s="92" t="s">
        <v>1409</v>
      </c>
      <c r="C434" s="92" t="s">
        <v>1470</v>
      </c>
      <c r="D434" s="92" t="s">
        <v>1424</v>
      </c>
      <c r="E434" s="92" t="s">
        <v>1471</v>
      </c>
      <c r="F434" s="92" t="s">
        <v>894</v>
      </c>
      <c r="G434" s="92" t="s">
        <v>23</v>
      </c>
      <c r="H434" s="91">
        <v>7</v>
      </c>
      <c r="I434" s="92" t="s">
        <v>1472</v>
      </c>
      <c r="J434" s="92" t="s">
        <v>32</v>
      </c>
      <c r="K434" s="92" t="s">
        <v>59</v>
      </c>
      <c r="L434" s="29">
        <v>10</v>
      </c>
      <c r="M434" s="93">
        <f>H434*10000*0.25</f>
      </c>
      <c r="N434" s="93">
        <f>M434*L434</f>
      </c>
      <c r="O434" s="93">
        <f>M434*2</f>
      </c>
      <c r="P434" s="93">
        <f>M434*8*0.8</f>
      </c>
      <c r="Q434" s="93">
        <f>P434/70</f>
      </c>
      <c r="R434" s="93">
        <f>Q434*4</f>
      </c>
      <c r="S434" s="13"/>
      <c r="T434" s="13"/>
      <c r="U434" s="13"/>
      <c r="V434" s="18"/>
      <c r="W434" s="13"/>
    </row>
    <row x14ac:dyDescent="0.25" r="435" customHeight="1" ht="18.75">
      <c r="A435" s="91">
        <v>19</v>
      </c>
      <c r="B435" s="92" t="s">
        <v>1409</v>
      </c>
      <c r="C435" s="92" t="s">
        <v>1473</v>
      </c>
      <c r="D435" s="92" t="s">
        <v>1447</v>
      </c>
      <c r="E435" s="92" t="s">
        <v>1474</v>
      </c>
      <c r="F435" s="92" t="s">
        <v>1475</v>
      </c>
      <c r="G435" s="92" t="s">
        <v>23</v>
      </c>
      <c r="H435" s="91">
        <v>12</v>
      </c>
      <c r="I435" s="92" t="s">
        <v>1476</v>
      </c>
      <c r="J435" s="92" t="s">
        <v>32</v>
      </c>
      <c r="K435" s="92" t="s">
        <v>48</v>
      </c>
      <c r="L435" s="29">
        <v>12</v>
      </c>
      <c r="M435" s="93">
        <f>H435*10000*0.25</f>
      </c>
      <c r="N435" s="93">
        <f>M435*L435</f>
      </c>
      <c r="O435" s="93">
        <f>M435*2</f>
      </c>
      <c r="P435" s="93">
        <f>M435*10*0.8</f>
      </c>
      <c r="Q435" s="93">
        <f>P435/70</f>
      </c>
      <c r="R435" s="93">
        <f>Q435*4</f>
      </c>
      <c r="S435" s="13"/>
      <c r="T435" s="13"/>
      <c r="U435" s="13"/>
      <c r="V435" s="18"/>
      <c r="W435" s="13"/>
    </row>
    <row x14ac:dyDescent="0.25" r="436" customHeight="1" ht="18.75">
      <c r="A436" s="91">
        <v>20</v>
      </c>
      <c r="B436" s="92" t="s">
        <v>1409</v>
      </c>
      <c r="C436" s="92" t="s">
        <v>1477</v>
      </c>
      <c r="D436" s="92" t="s">
        <v>1424</v>
      </c>
      <c r="E436" s="92" t="s">
        <v>1478</v>
      </c>
      <c r="F436" s="92" t="s">
        <v>1479</v>
      </c>
      <c r="G436" s="92" t="s">
        <v>23</v>
      </c>
      <c r="H436" s="91">
        <v>8</v>
      </c>
      <c r="I436" s="92" t="s">
        <v>1480</v>
      </c>
      <c r="J436" s="92" t="s">
        <v>25</v>
      </c>
      <c r="K436" s="92" t="s">
        <v>59</v>
      </c>
      <c r="L436" s="29">
        <v>10</v>
      </c>
      <c r="M436" s="93">
        <f>H436*10000*0.25</f>
      </c>
      <c r="N436" s="93">
        <f>M436*L436</f>
      </c>
      <c r="O436" s="93">
        <f>M436*2</f>
      </c>
      <c r="P436" s="93">
        <f>M436*8*0.8</f>
      </c>
      <c r="Q436" s="93">
        <f>P436/70</f>
      </c>
      <c r="R436" s="93">
        <f>Q436*4</f>
      </c>
      <c r="S436" s="13"/>
      <c r="T436" s="13"/>
      <c r="U436" s="13"/>
      <c r="V436" s="18"/>
      <c r="W436" s="13"/>
    </row>
    <row x14ac:dyDescent="0.25" r="437" customHeight="1" ht="18.75">
      <c r="A437" s="91">
        <v>21</v>
      </c>
      <c r="B437" s="92" t="s">
        <v>1409</v>
      </c>
      <c r="C437" s="92" t="s">
        <v>1481</v>
      </c>
      <c r="D437" s="92" t="s">
        <v>1482</v>
      </c>
      <c r="E437" s="92" t="s">
        <v>1440</v>
      </c>
      <c r="F437" s="92" t="s">
        <v>1483</v>
      </c>
      <c r="G437" s="92" t="s">
        <v>23</v>
      </c>
      <c r="H437" s="94">
        <v>12.5</v>
      </c>
      <c r="I437" s="92" t="s">
        <v>1484</v>
      </c>
      <c r="J437" s="92" t="s">
        <v>32</v>
      </c>
      <c r="K437" s="92" t="s">
        <v>59</v>
      </c>
      <c r="L437" s="29">
        <v>10</v>
      </c>
      <c r="M437" s="93">
        <f>H437*10000*0.25</f>
      </c>
      <c r="N437" s="93">
        <f>M437*L437</f>
      </c>
      <c r="O437" s="93">
        <f>M437*2</f>
      </c>
      <c r="P437" s="93">
        <f>M437*8*0.8</f>
      </c>
      <c r="Q437" s="93">
        <f>P437/70</f>
      </c>
      <c r="R437" s="93">
        <f>Q437*4</f>
      </c>
      <c r="S437" s="13"/>
      <c r="T437" s="13"/>
      <c r="U437" s="13"/>
      <c r="V437" s="18"/>
      <c r="W437" s="13"/>
    </row>
    <row x14ac:dyDescent="0.25" r="438" customHeight="1" ht="18.75">
      <c r="A438" s="91">
        <v>22</v>
      </c>
      <c r="B438" s="92" t="s">
        <v>1409</v>
      </c>
      <c r="C438" s="92" t="s">
        <v>1485</v>
      </c>
      <c r="D438" s="92" t="s">
        <v>1424</v>
      </c>
      <c r="E438" s="92" t="s">
        <v>1486</v>
      </c>
      <c r="F438" s="92" t="s">
        <v>940</v>
      </c>
      <c r="G438" s="92" t="s">
        <v>23</v>
      </c>
      <c r="H438" s="91">
        <v>4</v>
      </c>
      <c r="I438" s="92" t="s">
        <v>1487</v>
      </c>
      <c r="J438" s="92" t="s">
        <v>25</v>
      </c>
      <c r="K438" s="92" t="s">
        <v>48</v>
      </c>
      <c r="L438" s="29">
        <v>10</v>
      </c>
      <c r="M438" s="93">
        <v>6000</v>
      </c>
      <c r="N438" s="93">
        <v>72000</v>
      </c>
      <c r="O438" s="93">
        <v>24000</v>
      </c>
      <c r="P438" s="93">
        <v>48000</v>
      </c>
      <c r="Q438" s="93">
        <v>800</v>
      </c>
      <c r="R438" s="93">
        <v>3200</v>
      </c>
      <c r="S438" s="13"/>
      <c r="T438" s="13"/>
      <c r="U438" s="13"/>
      <c r="V438" s="18"/>
      <c r="W438" s="13"/>
    </row>
    <row x14ac:dyDescent="0.25" r="439" customHeight="1" ht="18.75">
      <c r="A439" s="91">
        <v>23</v>
      </c>
      <c r="B439" s="92" t="s">
        <v>1409</v>
      </c>
      <c r="C439" s="92" t="s">
        <v>1488</v>
      </c>
      <c r="D439" s="92" t="s">
        <v>910</v>
      </c>
      <c r="E439" s="92" t="s">
        <v>1489</v>
      </c>
      <c r="F439" s="92" t="s">
        <v>346</v>
      </c>
      <c r="G439" s="92" t="s">
        <v>241</v>
      </c>
      <c r="H439" s="94">
        <v>0.6</v>
      </c>
      <c r="I439" s="92" t="s">
        <v>1490</v>
      </c>
      <c r="J439" s="92" t="s">
        <v>25</v>
      </c>
      <c r="K439" s="92" t="s">
        <v>48</v>
      </c>
      <c r="L439" s="29">
        <v>3</v>
      </c>
      <c r="M439" s="93">
        <v>2200</v>
      </c>
      <c r="N439" s="93">
        <v>8800</v>
      </c>
      <c r="O439" s="93">
        <v>0</v>
      </c>
      <c r="P439" s="93">
        <v>0</v>
      </c>
      <c r="Q439" s="93">
        <v>0</v>
      </c>
      <c r="R439" s="93">
        <v>0</v>
      </c>
      <c r="S439" s="13"/>
      <c r="T439" s="13"/>
      <c r="U439" s="13"/>
      <c r="V439" s="18"/>
      <c r="W439" s="13"/>
    </row>
    <row x14ac:dyDescent="0.25" r="440" customHeight="1" ht="18.75">
      <c r="A440" s="17">
        <v>24</v>
      </c>
      <c r="B440" s="37" t="s">
        <v>1409</v>
      </c>
      <c r="C440" s="37" t="s">
        <v>1491</v>
      </c>
      <c r="D440" s="37" t="s">
        <v>1492</v>
      </c>
      <c r="E440" s="37" t="s">
        <v>1486</v>
      </c>
      <c r="F440" s="37" t="s">
        <v>1493</v>
      </c>
      <c r="G440" s="37" t="s">
        <v>23</v>
      </c>
      <c r="H440" s="17">
        <v>2</v>
      </c>
      <c r="I440" s="37" t="s">
        <v>1494</v>
      </c>
      <c r="J440" s="37" t="s">
        <v>32</v>
      </c>
      <c r="K440" s="37" t="s">
        <v>48</v>
      </c>
      <c r="L440" s="29">
        <v>10</v>
      </c>
      <c r="M440" s="23">
        <f>H440*10000*0.25</f>
      </c>
      <c r="N440" s="23">
        <f>M440*L440</f>
      </c>
      <c r="O440" s="23">
        <f>M440*2</f>
      </c>
      <c r="P440" s="23">
        <f>M440*8*0.8</f>
      </c>
      <c r="Q440" s="23">
        <f>P440/70</f>
      </c>
      <c r="R440" s="23">
        <f>Q440*4</f>
      </c>
      <c r="S440" s="13"/>
      <c r="T440" s="13"/>
      <c r="U440" s="13"/>
      <c r="V440" s="18"/>
      <c r="W440" s="1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Лист1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2025-06-17T13:06:07.622Z</dcterms:created>
  <dcterms:modified xsi:type="dcterms:W3CDTF">2025-06-17T13:06:07.622Z</dcterms:modified>
</cp:coreProperties>
</file>